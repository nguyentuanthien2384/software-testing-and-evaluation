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software-testing-and-evaluation\docs\"/>
    </mc:Choice>
  </mc:AlternateContent>
  <xr:revisionPtr revIDLastSave="0" documentId="13_ncr:1_{056B98AC-F807-4C2D-9C6F-E09D9FB17DCC}" xr6:coauthVersionLast="47" xr6:coauthVersionMax="47" xr10:uidLastSave="{00000000-0000-0000-0000-000000000000}"/>
  <bookViews>
    <workbookView xWindow="-108" yWindow="-108" windowWidth="23256" windowHeight="12576" firstSheet="9" activeTab="9" xr2:uid="{00000000-000D-0000-FFFF-FFFF00000000}"/>
  </bookViews>
  <sheets>
    <sheet name="Dashboard" sheetId="1" r:id="rId1"/>
    <sheet name="00_Doi_chieu_YC" sheetId="2" r:id="rId2"/>
    <sheet name="Traceability" sheetId="3" r:id="rId3"/>
    <sheet name="TestPlan_Checklist" sheetId="4" r:id="rId4"/>
    <sheet name="TestCase_Checklist" sheetId="5" r:id="rId5"/>
    <sheet name="GUI_Checklist" sheetId="6" r:id="rId6"/>
    <sheet name="Code_Checklist" sheetId="7" r:id="rId7"/>
    <sheet name="WebTest_Checklist" sheetId="8" r:id="rId8"/>
    <sheet name="TestExecution_Log" sheetId="10" r:id="rId9"/>
    <sheet name="SystemTest_Checklist" sheetId="9" r:id="rId10"/>
    <sheet name="Selenium_Summary" sheetId="11" r:id="rId11"/>
    <sheet name="JMeter_Summary" sheetId="12" r:id="rId12"/>
    <sheet name="CrossReview_Log" sheetId="13" r:id="rId13"/>
    <sheet name="Defect_Log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B6" i="1"/>
  <c r="B5" i="1"/>
  <c r="B4" i="1"/>
</calcChain>
</file>

<file path=xl/sharedStrings.xml><?xml version="1.0" encoding="utf-8"?>
<sst xmlns="http://schemas.openxmlformats.org/spreadsheetml/2006/main" count="523" uniqueCount="336">
  <si>
    <t>N01 G11 - Dashboard đối chiếu YC1-YC9</t>
  </si>
  <si>
    <t>Nhóm</t>
  </si>
  <si>
    <t>Số lượng</t>
  </si>
  <si>
    <t>Ghi chú</t>
  </si>
  <si>
    <t>Đạt/đã bổ sung</t>
  </si>
  <si>
    <t>Có artifact trong gói</t>
  </si>
  <si>
    <t>Một phần</t>
  </si>
  <si>
    <t>Cần minh chứng hoặc source thật</t>
  </si>
  <si>
    <t>Cần thực hiện thật</t>
  </si>
  <si>
    <t>Đặc biệt YC9</t>
  </si>
  <si>
    <t>Tổng YC</t>
  </si>
  <si>
    <t>YC1-YC9</t>
  </si>
  <si>
    <t>Việc cần làm trước khi nộp</t>
  </si>
  <si>
    <t>No</t>
  </si>
  <si>
    <t>Task</t>
  </si>
  <si>
    <t>YC</t>
  </si>
  <si>
    <t>Người phụ trách</t>
  </si>
  <si>
    <t>Ngày hoàn tất</t>
  </si>
  <si>
    <t>1</t>
  </si>
  <si>
    <t>Thay source mẫu bằng source thật nếu cần</t>
  </si>
  <si>
    <t>YC2</t>
  </si>
  <si>
    <t>Owner</t>
  </si>
  <si>
    <t>2</t>
  </si>
  <si>
    <t>Chạy npm test và npm run coverage, lưu report</t>
  </si>
  <si>
    <t>YC6</t>
  </si>
  <si>
    <t>3</t>
  </si>
  <si>
    <t>Chạy Selenium và lưu screenshot/log</t>
  </si>
  <si>
    <t>YC7</t>
  </si>
  <si>
    <t>4</t>
  </si>
  <si>
    <t>Chạy JMeter và lưu .jtl/html report</t>
  </si>
  <si>
    <t>YC8</t>
  </si>
  <si>
    <t>5</t>
  </si>
  <si>
    <t>Review nhóm khác và điền biên bản/log</t>
  </si>
  <si>
    <t>YC9</t>
  </si>
  <si>
    <t>Mã</t>
  </si>
  <si>
    <t>Yêu cầu</t>
  </si>
  <si>
    <t>Tình trạng</t>
  </si>
  <si>
    <t>Artifact</t>
  </si>
  <si>
    <t>YC1</t>
  </si>
  <si>
    <t>Đặc tả yêu cầu (chức năng + phi chức năng)</t>
  </si>
  <si>
    <t>Đạt</t>
  </si>
  <si>
    <t>Chương 1 đầy đủ; đã tách rõ phần yêu cầu phi chức năng thành mục riêng và bổ sung tiêu chí nghiệm thu.</t>
  </si>
  <si>
    <t>01_SRS_Dac_ta_yeu_cau.docx</t>
  </si>
  <si>
    <t>Cài đặt</t>
  </si>
  <si>
    <t>Có source mẫu và báo cáo cài đặt; khi nộp cần thay bằng mã nguồn thật nếu source nhóm khác source mẫu.</t>
  </si>
  <si>
    <t>source/teacher-payroll-app; 06_Installation_Source_Code_Report.docx</t>
  </si>
  <si>
    <t>YC3</t>
  </si>
  <si>
    <t>SQA &amp; Test Plan theo template [1]</t>
  </si>
  <si>
    <t>Đã bổ sung SQA Plan: chuẩn chất lượng, quy trình, cấu hình, metric, audit/review, defect management.</t>
  </si>
  <si>
    <t>02_SQA_Test_Plan.docx</t>
  </si>
  <si>
    <t>YC4</t>
  </si>
  <si>
    <t>6 checklist: test plan, test case, GUI, code, Web test, system test</t>
  </si>
  <si>
    <t>Đã bổ sung</t>
  </si>
  <si>
    <t>Đã tạo đủ 6 checklist trong workbook này.</t>
  </si>
  <si>
    <t>Các sheet checklist</t>
  </si>
  <si>
    <t>YC5</t>
  </si>
  <si>
    <t>Viết test case + thực hiện test theo template [1]</t>
  </si>
  <si>
    <t>Có 128 test case gốc; đã bổ sung log thực thi. Nhóm cần chạy thật, điền Actual Result/Status/Evidence.</t>
  </si>
  <si>
    <t>TestExecution_Log; 03_Test_Execution_and_Review_Report.docx</t>
  </si>
  <si>
    <t>Unit test + đánh giá độ phủ</t>
  </si>
  <si>
    <t>Có Jest unit test và cấu hình coverage cho logic tính tiền/validate. Cần chạy lại trên source thật.</t>
  </si>
  <si>
    <t>src/lib/__tests__/payroll.test.ts</t>
  </si>
  <si>
    <t>Test tự động bằng Selenium WebDriver</t>
  </si>
  <si>
    <t>Đã bổ sung script Selenium Python, README, test report mẫu và nơi lưu screenshot/log.</t>
  </si>
  <si>
    <t>tests/selenium; 07_Selenium_WebDriver_Test_Report.docx</t>
  </si>
  <si>
    <t>Test hiệu năng bằng JMeter</t>
  </si>
  <si>
    <t>Đã bổ sung file .jmx, README, test report mẫu và bảng kết quả. Thay Lighthouse bằng JMeter.</t>
  </si>
  <si>
    <t>tests/jmeter; 08_JMeter_Performance_Test_Report.docx</t>
  </si>
  <si>
    <t>Thực hiện test + review cho nhóm khác</t>
  </si>
  <si>
    <t>Đã bổ sung template biên bản, checklist và log review chéo. Nội dung review liên nhóm phải tự điền.</t>
  </si>
  <si>
    <t>04_Cross_Review_Template_YC9.docx; CrossReview_Log</t>
  </si>
  <si>
    <t>Mã YC</t>
  </si>
  <si>
    <t>Coverage status</t>
  </si>
  <si>
    <t>SRS chức năng + phi chức năng</t>
  </si>
  <si>
    <t>NFR tách riêng</t>
  </si>
  <si>
    <t>Covered</t>
  </si>
  <si>
    <t>Cài đặt/source</t>
  </si>
  <si>
    <t>Cần source thật nếu khác</t>
  </si>
  <si>
    <t>Partial</t>
  </si>
  <si>
    <t>SQA &amp; Test Plan</t>
  </si>
  <si>
    <t>Đã bổ sung SQA Plan</t>
  </si>
  <si>
    <t>6 checklist</t>
  </si>
  <si>
    <t>6 sheet checklist trong workbook</t>
  </si>
  <si>
    <t>Test plan/test case/GUI/code/Web/System</t>
  </si>
  <si>
    <t>Test case + execution</t>
  </si>
  <si>
    <t>N01_G11_Testcase_Full.xlsx; TestExecution_Log</t>
  </si>
  <si>
    <t>Cần chạy thật</t>
  </si>
  <si>
    <t>Unit test + coverage</t>
  </si>
  <si>
    <t>Jest tests + package script</t>
  </si>
  <si>
    <t>Cần lưu coverage evidence</t>
  </si>
  <si>
    <t>Selenium WebDriver</t>
  </si>
  <si>
    <t>tests/selenium</t>
  </si>
  <si>
    <t>Cần screenshot/log sau khi chạy</t>
  </si>
  <si>
    <t>JMeter</t>
  </si>
  <si>
    <t>tests/jmeter/teacher_payroll_load_test.jmx</t>
  </si>
  <si>
    <t>Cần .jtl/html report</t>
  </si>
  <si>
    <t>Review nhóm khác</t>
  </si>
  <si>
    <t>Cần thực hiện liên nhóm</t>
  </si>
  <si>
    <t>Pending</t>
  </si>
  <si>
    <t>ID</t>
  </si>
  <si>
    <t>Checklist item</t>
  </si>
  <si>
    <t>Tiêu chí đạt</t>
  </si>
  <si>
    <t>Status</t>
  </si>
  <si>
    <t>Evidence</t>
  </si>
  <si>
    <t>TP-01</t>
  </si>
  <si>
    <t>Test plan có mục tiêu/phạm vi</t>
  </si>
  <si>
    <t>Có mục tiêu, phạm vi, đối tượng test</t>
  </si>
  <si>
    <t>Test Lead</t>
  </si>
  <si>
    <t>Done</t>
  </si>
  <si>
    <t>TP-02</t>
  </si>
  <si>
    <t>Entry/Exit criteria</t>
  </si>
  <si>
    <t>Có điều kiện bắt đầu/kết thúc/tạm dừng/tiếp tục</t>
  </si>
  <si>
    <t>TP-03</t>
  </si>
  <si>
    <t>Môi trường kiểm thử</t>
  </si>
  <si>
    <t>Có OS, runtime, browser, Selenium, JMeter, data</t>
  </si>
  <si>
    <t>Tester</t>
  </si>
  <si>
    <t>TP-04</t>
  </si>
  <si>
    <t>Vai trò và trách nhiệm</t>
  </si>
  <si>
    <t>Có Test Lead/Dev/Tester/Reviewer</t>
  </si>
  <si>
    <t>TP-05</t>
  </si>
  <si>
    <t>Rủi ro và giảm thiểu</t>
  </si>
  <si>
    <t>Có rủi ro source/template/tool/evidence</t>
  </si>
  <si>
    <t>TP-06</t>
  </si>
  <si>
    <t>Metric chất lượng</t>
  </si>
  <si>
    <t>Có coverage/pass rate/defect closure/error rate</t>
  </si>
  <si>
    <t>SQA</t>
  </si>
  <si>
    <t>TC-01</t>
  </si>
  <si>
    <t>Mã test case</t>
  </si>
  <si>
    <t>Mỗi test case có ID duy nhất</t>
  </si>
  <si>
    <t>Ready</t>
  </si>
  <si>
    <t>N01_G11_Testcase_Full.xlsx</t>
  </si>
  <si>
    <t>TC-02</t>
  </si>
  <si>
    <t>Precondition</t>
  </si>
  <si>
    <t>Có điều kiện đầu vào/dữ liệu test</t>
  </si>
  <si>
    <t>Need check</t>
  </si>
  <si>
    <t>Workbook gốc</t>
  </si>
  <si>
    <t>TC-03</t>
  </si>
  <si>
    <t>Steps rõ ràng</t>
  </si>
  <si>
    <t>Người khác có thể chạy lại</t>
  </si>
  <si>
    <t>TC-04</t>
  </si>
  <si>
    <t>Expected result đo được</t>
  </si>
  <si>
    <t>Không viết kỳ vọng mơ hồ</t>
  </si>
  <si>
    <t>Reviewer</t>
  </si>
  <si>
    <t>TC-05</t>
  </si>
  <si>
    <t>Actual result/status/evidence</t>
  </si>
  <si>
    <t>Có cột thực thi và minh chứng</t>
  </si>
  <si>
    <t>Pending execution</t>
  </si>
  <si>
    <t>TestExecution_Log</t>
  </si>
  <si>
    <t>TC-06</t>
  </si>
  <si>
    <t>Traceability</t>
  </si>
  <si>
    <t>Mỗi TC map về FR/YC</t>
  </si>
  <si>
    <t>GUI-01</t>
  </si>
  <si>
    <t>Nhãn trường nhập</t>
  </si>
  <si>
    <t>Tất cả input có label rõ</t>
  </si>
  <si>
    <t>page.tsx</t>
  </si>
  <si>
    <t>GUI-02</t>
  </si>
  <si>
    <t>Giá trị mặc định</t>
  </si>
  <si>
    <t>Form có dữ liệu mẫu hợp lệ</t>
  </si>
  <si>
    <t>GUI-03</t>
  </si>
  <si>
    <t>Thông báo kết quả</t>
  </si>
  <si>
    <t>Kết quả hiển thị tiết quy đổi và thành tiền</t>
  </si>
  <si>
    <t>Selenium SEL-01</t>
  </si>
  <si>
    <t>GUI-04</t>
  </si>
  <si>
    <t>Thông báo lỗi</t>
  </si>
  <si>
    <t>Lỗi nghiệp vụ hiển thị dễ hiểu</t>
  </si>
  <si>
    <t>Selenium SEL-02</t>
  </si>
  <si>
    <t>GUI-05</t>
  </si>
  <si>
    <t>Responsive cơ bản</t>
  </si>
  <si>
    <t>Không vỡ layout desktop phổ biến</t>
  </si>
  <si>
    <t>Need run</t>
  </si>
  <si>
    <t>Screenshot</t>
  </si>
  <si>
    <t>GUI-06</t>
  </si>
  <si>
    <t>Trạng thái loading</t>
  </si>
  <si>
    <t>Button thể hiện đang tính</t>
  </si>
  <si>
    <t>CODE-01</t>
  </si>
  <si>
    <t>Tách logic nghiệp vụ</t>
  </si>
  <si>
    <t>payroll.ts tách khỏi UI/API</t>
  </si>
  <si>
    <t>payroll.ts</t>
  </si>
  <si>
    <t>CODE-02</t>
  </si>
  <si>
    <t>Validate input</t>
  </si>
  <si>
    <t>Email/phone/age/coefficient/công thức có validate</t>
  </si>
  <si>
    <t>CODE-03</t>
  </si>
  <si>
    <t>TypeScript strict</t>
  </si>
  <si>
    <t>tsconfig strict=true</t>
  </si>
  <si>
    <t>tsconfig.json</t>
  </si>
  <si>
    <t>CODE-04</t>
  </si>
  <si>
    <t>Unit test</t>
  </si>
  <si>
    <t>Logic chính được Jest cover</t>
  </si>
  <si>
    <t>payroll.test.ts</t>
  </si>
  <si>
    <t>CODE-05</t>
  </si>
  <si>
    <t>Không lộ lỗi kỹ thuật</t>
  </si>
  <si>
    <t>API trả message nghiệp vụ</t>
  </si>
  <si>
    <t>route.ts</t>
  </si>
  <si>
    <t>CODE-06</t>
  </si>
  <si>
    <t>Cấu trúc source nộp kèm</t>
  </si>
  <si>
    <t>Có README và hướng dẫn chạy</t>
  </si>
  <si>
    <t>source README</t>
  </si>
  <si>
    <t>WEB-01</t>
  </si>
  <si>
    <t>Load trang chủ</t>
  </si>
  <si>
    <t>HTTP 200 và render form</t>
  </si>
  <si>
    <t>Selenium</t>
  </si>
  <si>
    <t>WEB-02</t>
  </si>
  <si>
    <t>Submit form hợp lệ</t>
  </si>
  <si>
    <t>POST /api/payroll trả amount đúng</t>
  </si>
  <si>
    <t>Selenium/JMeter</t>
  </si>
  <si>
    <t>WEB-03</t>
  </si>
  <si>
    <t>Submit form lỗi</t>
  </si>
  <si>
    <t>Hiển thị lỗi nghiệp vụ</t>
  </si>
  <si>
    <t>WEB-04</t>
  </si>
  <si>
    <t>API teachers</t>
  </si>
  <si>
    <t>GET /api/teachers trả danh sách</t>
  </si>
  <si>
    <t>Manual/API</t>
  </si>
  <si>
    <t>WEB-05</t>
  </si>
  <si>
    <t>Cross-browser</t>
  </si>
  <si>
    <t>Chrome/Edge/Firefox cơ bản</t>
  </si>
  <si>
    <t>Web test evidence</t>
  </si>
  <si>
    <t>WEB-06</t>
  </si>
  <si>
    <t>Không lỗi console nghiêm trọng</t>
  </si>
  <si>
    <t>Không lỗi JS critical khi dùng luồng chính</t>
  </si>
  <si>
    <t>Browser console</t>
  </si>
  <si>
    <t>SYS-01</t>
  </si>
  <si>
    <t>Cài đặt dependency</t>
  </si>
  <si>
    <t>npm install không lỗi blocking</t>
  </si>
  <si>
    <t>Install log</t>
  </si>
  <si>
    <t>SYS-02</t>
  </si>
  <si>
    <t>Run dev server</t>
  </si>
  <si>
    <t>npm run dev chạy ứng dụng</t>
  </si>
  <si>
    <t>Terminal log</t>
  </si>
  <si>
    <t>SYS-03</t>
  </si>
  <si>
    <t>Luồng tính tiền end-to-end</t>
  </si>
  <si>
    <t>UI -&gt; API -&gt; kết quả đúng</t>
  </si>
  <si>
    <t>SYS-04</t>
  </si>
  <si>
    <t>Regression unit test</t>
  </si>
  <si>
    <t>npm test pass</t>
  </si>
  <si>
    <t>Jest log</t>
  </si>
  <si>
    <t>SYS-05</t>
  </si>
  <si>
    <t>Performance smoke</t>
  </si>
  <si>
    <t>JMeter basic pass</t>
  </si>
  <si>
    <t>JMeter report</t>
  </si>
  <si>
    <t>SYS-06</t>
  </si>
  <si>
    <t>Đóng gói nộp bài</t>
  </si>
  <si>
    <t>Source/docs/tests/evidence đầy đủ</t>
  </si>
  <si>
    <t>README</t>
  </si>
  <si>
    <t>TC ID</t>
  </si>
  <si>
    <t>Tên test</t>
  </si>
  <si>
    <t>Test data/Command</t>
  </si>
  <si>
    <t>Expected result</t>
  </si>
  <si>
    <t>Actual result</t>
  </si>
  <si>
    <t>TC-001</t>
  </si>
  <si>
    <t>Tính tiền lớp hợp lệ CALC001</t>
  </si>
  <si>
    <t>YC5/YC6/YC7</t>
  </si>
  <si>
    <t>45, 1, -0.1, 143000, 2</t>
  </si>
  <si>
    <t>11583000</t>
  </si>
  <si>
    <t>Not run</t>
  </si>
  <si>
    <t>TC-002</t>
  </si>
  <si>
    <t>Tính tiền lớp hợp lệ CALC002</t>
  </si>
  <si>
    <t>YC5/YC6</t>
  </si>
  <si>
    <t>60, 1.2, -0.1, 143000, 2</t>
  </si>
  <si>
    <t>18876000</t>
  </si>
  <si>
    <t>TC-003</t>
  </si>
  <si>
    <t>Validate hệ số không hợp lệ</t>
  </si>
  <si>
    <t>YC5/YC7</t>
  </si>
  <si>
    <t>classCoef=-1.5</t>
  </si>
  <si>
    <t>Thông báo lỗi nghiệp vụ</t>
  </si>
  <si>
    <t>TC-004</t>
  </si>
  <si>
    <t>GET bảng lương GV0001</t>
  </si>
  <si>
    <t>teacherId=GV0001, term=2025-2026-1</t>
  </si>
  <si>
    <t>total=30459000</t>
  </si>
  <si>
    <t>TC-005</t>
  </si>
  <si>
    <t>Jest regression</t>
  </si>
  <si>
    <t>npm test</t>
  </si>
  <si>
    <t>All tests pass</t>
  </si>
  <si>
    <t>evidence/coverage</t>
  </si>
  <si>
    <t>TC-006</t>
  </si>
  <si>
    <t>Selenium E2E</t>
  </si>
  <si>
    <t>python selenium script</t>
  </si>
  <si>
    <t>SEL-01..SEL-03 pass</t>
  </si>
  <si>
    <t>evidence/screenshots</t>
  </si>
  <si>
    <t>TC-007</t>
  </si>
  <si>
    <t>JMeter performance</t>
  </si>
  <si>
    <t>50 users, ramp 30, loop 5</t>
  </si>
  <si>
    <t>Error &lt;=1%, P95 &lt;=2000ms</t>
  </si>
  <si>
    <t>evidence/jmeter-results</t>
  </si>
  <si>
    <t>Scenario</t>
  </si>
  <si>
    <t>Tên</t>
  </si>
  <si>
    <t>Input</t>
  </si>
  <si>
    <t>Expected</t>
  </si>
  <si>
    <t>SEL-01</t>
  </si>
  <si>
    <t>Valid payroll calculation</t>
  </si>
  <si>
    <t>Tiết quy đổi 40.5; 11.583.000 VND</t>
  </si>
  <si>
    <t>evidence/screenshots/SEL-01-valid-payroll.png</t>
  </si>
  <si>
    <t>SEL-02</t>
  </si>
  <si>
    <t>Invalid coefficient validation</t>
  </si>
  <si>
    <t>Thông báo lỗi tổng hệ số &lt;= 0</t>
  </si>
  <si>
    <t>evidence/screenshots/SEL-02-invalid-coefficient.png</t>
  </si>
  <si>
    <t>SEL-03</t>
  </si>
  <si>
    <t>Recover after error</t>
  </si>
  <si>
    <t>Run invalid then valid data</t>
  </si>
  <si>
    <t>Kết quả mới đúng, không giữ lỗi cũ</t>
  </si>
  <si>
    <t>evidence/screenshots/SEL-03-recover-after-error.png</t>
  </si>
  <si>
    <t>Metric</t>
  </si>
  <si>
    <t>Value/Target</t>
  </si>
  <si>
    <t>Endpoint</t>
  </si>
  <si>
    <t>POST /api/payroll</t>
  </si>
  <si>
    <t>Virtual users</t>
  </si>
  <si>
    <t>50</t>
  </si>
  <si>
    <t>Ramp-up</t>
  </si>
  <si>
    <t>30 seconds</t>
  </si>
  <si>
    <t>Loop count</t>
  </si>
  <si>
    <t>Assertion</t>
  </si>
  <si>
    <t>Response contains 11583000 and response time &lt;= 2000 ms</t>
  </si>
  <si>
    <t>Result file</t>
  </si>
  <si>
    <t>evidence/jmeter-results/teacher-payroll-results.jtl</t>
  </si>
  <si>
    <t>HTML report</t>
  </si>
  <si>
    <t>evidence/jmeter-results/html-report/index.html</t>
  </si>
  <si>
    <t>Issue ID</t>
  </si>
  <si>
    <t>Nhóm được review</t>
  </si>
  <si>
    <t>Ngày</t>
  </si>
  <si>
    <t>Phạm vi</t>
  </si>
  <si>
    <t>Issue/nhận xét</t>
  </si>
  <si>
    <t>Đề xuất</t>
  </si>
  <si>
    <t>CR-01</t>
  </si>
  <si>
    <t>Review SRS/Test Plan/Test Case/GUI/Code/Web/System</t>
  </si>
  <si>
    <t>Open</t>
  </si>
  <si>
    <t>CR-02</t>
  </si>
  <si>
    <t>Ghi issue cụ thể sau khi review nhóm khác</t>
  </si>
  <si>
    <t>CR-03</t>
  </si>
  <si>
    <t>Follow-up phản hồi của nhóm được review</t>
  </si>
  <si>
    <t>Defect ID</t>
  </si>
  <si>
    <t>Nguồn phát hiện</t>
  </si>
  <si>
    <t>Mô tả</t>
  </si>
  <si>
    <t>Severity</t>
  </si>
  <si>
    <t>Ngày phát hiện</t>
  </si>
  <si>
    <t>Retest/Evidence</t>
  </si>
  <si>
    <t>DEF-001</t>
  </si>
  <si>
    <t>DEF-002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</si>
</sst>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1F4E79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horizontal="center"/>
    </xf>
    <xf numFmtId="0" fontId="3" fillId="4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YCStatusTable" displayName="YCStatusTable" ref="A1:E10">
  <tableColumns count="5">
    <tableColumn id="1" xr3:uid="{00000000-0010-0000-0000-000001000000}" name="Mã"/>
    <tableColumn id="2" xr3:uid="{00000000-0010-0000-0000-000002000000}" name="Yêu cầu"/>
    <tableColumn id="3" xr3:uid="{00000000-0010-0000-0000-000003000000}" name="Tình trạng"/>
    <tableColumn id="4" xr3:uid="{00000000-0010-0000-0000-000004000000}" name="Ghi chú"/>
    <tableColumn id="5" xr3:uid="{00000000-0010-0000-0000-000005000000}" name="Artifa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raceabilityTable" displayName="TraceabilityTable" ref="A1:E10">
  <tableColumns count="5">
    <tableColumn id="1" xr3:uid="{00000000-0010-0000-0100-000001000000}" name="Mã YC"/>
    <tableColumn id="2" xr3:uid="{00000000-0010-0000-0100-000002000000}" name="Yêu cầu"/>
    <tableColumn id="3" xr3:uid="{00000000-0010-0000-0100-000003000000}" name="Artifact"/>
    <tableColumn id="4" xr3:uid="{00000000-0010-0000-0100-000004000000}" name="Ghi chú"/>
    <tableColumn id="5" xr3:uid="{00000000-0010-0000-0100-000005000000}" name="Coverage 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estPlanChecklistTable" displayName="TestPlanChecklistTable" ref="A1:F7">
  <tableColumns count="6">
    <tableColumn id="1" xr3:uid="{00000000-0010-0000-0200-000001000000}" name="ID"/>
    <tableColumn id="2" xr3:uid="{00000000-0010-0000-0200-000002000000}" name="Checklist item"/>
    <tableColumn id="3" xr3:uid="{00000000-0010-0000-0200-000003000000}" name="Tiêu chí đạt"/>
    <tableColumn id="4" xr3:uid="{00000000-0010-0000-0200-000004000000}" name="Owner"/>
    <tableColumn id="5" xr3:uid="{00000000-0010-0000-0200-000005000000}" name="Status"/>
    <tableColumn id="6" xr3:uid="{00000000-0010-0000-0200-000006000000}" name="Evide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estCaseChecklistTable" displayName="TestCaseChecklistTable" ref="A1:F7">
  <tableColumns count="6">
    <tableColumn id="1" xr3:uid="{00000000-0010-0000-0300-000001000000}" name="ID"/>
    <tableColumn id="2" xr3:uid="{00000000-0010-0000-0300-000002000000}" name="Checklist item"/>
    <tableColumn id="3" xr3:uid="{00000000-0010-0000-0300-000003000000}" name="Tiêu chí đạt"/>
    <tableColumn id="4" xr3:uid="{00000000-0010-0000-0300-000004000000}" name="Owner"/>
    <tableColumn id="5" xr3:uid="{00000000-0010-0000-0300-000005000000}" name="Status"/>
    <tableColumn id="6" xr3:uid="{00000000-0010-0000-0300-000006000000}" name="Eviden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GUIChecklistTable" displayName="GUIChecklistTable" ref="A1:F7">
  <tableColumns count="6">
    <tableColumn id="1" xr3:uid="{00000000-0010-0000-0400-000001000000}" name="ID"/>
    <tableColumn id="2" xr3:uid="{00000000-0010-0000-0400-000002000000}" name="Checklist item"/>
    <tableColumn id="3" xr3:uid="{00000000-0010-0000-0400-000003000000}" name="Tiêu chí đạt"/>
    <tableColumn id="4" xr3:uid="{00000000-0010-0000-0400-000004000000}" name="Owner"/>
    <tableColumn id="5" xr3:uid="{00000000-0010-0000-0400-000005000000}" name="Status"/>
    <tableColumn id="6" xr3:uid="{00000000-0010-0000-0400-000006000000}" name="Evide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deChecklistTable" displayName="CodeChecklistTable" ref="A1:F7">
  <tableColumns count="6">
    <tableColumn id="1" xr3:uid="{00000000-0010-0000-0500-000001000000}" name="ID"/>
    <tableColumn id="2" xr3:uid="{00000000-0010-0000-0500-000002000000}" name="Checklist item"/>
    <tableColumn id="3" xr3:uid="{00000000-0010-0000-0500-000003000000}" name="Tiêu chí đạt"/>
    <tableColumn id="4" xr3:uid="{00000000-0010-0000-0500-000004000000}" name="Owner"/>
    <tableColumn id="5" xr3:uid="{00000000-0010-0000-0500-000005000000}" name="Status"/>
    <tableColumn id="6" xr3:uid="{00000000-0010-0000-0500-000006000000}" name="Eviden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WebTestChecklistTable" displayName="WebTestChecklistTable" ref="A1:F7">
  <tableColumns count="6">
    <tableColumn id="1" xr3:uid="{00000000-0010-0000-0600-000001000000}" name="ID"/>
    <tableColumn id="2" xr3:uid="{00000000-0010-0000-0600-000002000000}" name="Checklist item"/>
    <tableColumn id="3" xr3:uid="{00000000-0010-0000-0600-000003000000}" name="Tiêu chí đạt"/>
    <tableColumn id="4" xr3:uid="{00000000-0010-0000-0600-000004000000}" name="Owner"/>
    <tableColumn id="5" xr3:uid="{00000000-0010-0000-0600-000005000000}" name="Status"/>
    <tableColumn id="6" xr3:uid="{00000000-0010-0000-0600-000006000000}" name="Eviden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estExecutionTable" displayName="TestExecutionTable" ref="A1:H8">
  <tableColumns count="8">
    <tableColumn id="1" xr3:uid="{00000000-0010-0000-0800-000001000000}" name="TC ID"/>
    <tableColumn id="2" xr3:uid="{00000000-0010-0000-0800-000002000000}" name="Tên test"/>
    <tableColumn id="3" xr3:uid="{00000000-0010-0000-0800-000003000000}" name="YC"/>
    <tableColumn id="4" xr3:uid="{00000000-0010-0000-0800-000004000000}" name="Test data/Command"/>
    <tableColumn id="5" xr3:uid="{00000000-0010-0000-0800-000005000000}" name="Expected result"/>
    <tableColumn id="6" xr3:uid="{00000000-0010-0000-0800-000006000000}" name="Actual result"/>
    <tableColumn id="7" xr3:uid="{00000000-0010-0000-0800-000007000000}" name="Status"/>
    <tableColumn id="8" xr3:uid="{00000000-0010-0000-0800-000008000000}" name="Evidenc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ystemTestChecklistTable" displayName="SystemTestChecklistTable" ref="A1:F7">
  <tableColumns count="6">
    <tableColumn id="1" xr3:uid="{00000000-0010-0000-0700-000001000000}" name="ID"/>
    <tableColumn id="2" xr3:uid="{00000000-0010-0000-0700-000002000000}" name="Checklist item"/>
    <tableColumn id="3" xr3:uid="{00000000-0010-0000-0700-000003000000}" name="Tiêu chí đạt"/>
    <tableColumn id="4" xr3:uid="{00000000-0010-0000-0700-000004000000}" name="Owner"/>
    <tableColumn id="5" xr3:uid="{00000000-0010-0000-0700-000005000000}" name="Status"/>
    <tableColumn id="6" xr3:uid="{00000000-0010-0000-0700-000006000000}" name="Evidenc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SeleniumSummaryTable" displayName="SeleniumSummaryTable" ref="A1:F4">
  <tableColumns count="6">
    <tableColumn id="1" xr3:uid="{00000000-0010-0000-0900-000001000000}" name="Scenario"/>
    <tableColumn id="2" xr3:uid="{00000000-0010-0000-0900-000002000000}" name="Tên"/>
    <tableColumn id="3" xr3:uid="{00000000-0010-0000-0900-000003000000}" name="Input"/>
    <tableColumn id="4" xr3:uid="{00000000-0010-0000-0900-000004000000}" name="Expected"/>
    <tableColumn id="5" xr3:uid="{00000000-0010-0000-0900-000005000000}" name="Status"/>
    <tableColumn id="6" xr3:uid="{00000000-0010-0000-0900-000006000000}" name="Evidenc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JMeterSummaryTable" displayName="JMeterSummaryTable" ref="A1:B8">
  <tableColumns count="2">
    <tableColumn id="1" xr3:uid="{00000000-0010-0000-0A00-000001000000}" name="Metric"/>
    <tableColumn id="2" xr3:uid="{00000000-0010-0000-0A00-000002000000}" name="Value/Targe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CrossReviewTable" displayName="CrossReviewTable" ref="A1:H4">
  <tableColumns count="8">
    <tableColumn id="1" xr3:uid="{00000000-0010-0000-0B00-000001000000}" name="Issue ID"/>
    <tableColumn id="2" xr3:uid="{00000000-0010-0000-0B00-000002000000}" name="Nhóm được review"/>
    <tableColumn id="3" xr3:uid="{00000000-0010-0000-0B00-000003000000}" name="Ngày"/>
    <tableColumn id="4" xr3:uid="{00000000-0010-0000-0B00-000004000000}" name="Phạm vi"/>
    <tableColumn id="5" xr3:uid="{00000000-0010-0000-0B00-000005000000}" name="Issue/nhận xét"/>
    <tableColumn id="6" xr3:uid="{00000000-0010-0000-0B00-000006000000}" name="Đề xuất"/>
    <tableColumn id="7" xr3:uid="{00000000-0010-0000-0B00-000007000000}" name="Status"/>
    <tableColumn id="8" xr3:uid="{00000000-0010-0000-0B00-000008000000}" name="Evidenc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DefectLogTable" displayName="DefectLogTable" ref="A1:H3">
  <tableColumns count="8">
    <tableColumn id="1" xr3:uid="{00000000-0010-0000-0C00-000001000000}" name="Defect ID"/>
    <tableColumn id="2" xr3:uid="{00000000-0010-0000-0C00-000002000000}" name="Nguồn phát hiện"/>
    <tableColumn id="3" xr3:uid="{00000000-0010-0000-0C00-000003000000}" name="Mô tả"/>
    <tableColumn id="4" xr3:uid="{00000000-0010-0000-0C00-000004000000}" name="Severity"/>
    <tableColumn id="5" xr3:uid="{00000000-0010-0000-0C00-000005000000}" name="Owner"/>
    <tableColumn id="6" xr3:uid="{00000000-0010-0000-0C00-000006000000}" name="Ngày phát hiện"/>
    <tableColumn id="7" xr3:uid="{00000000-0010-0000-0C00-000007000000}" name="Status"/>
    <tableColumn id="8" xr3:uid="{00000000-0010-0000-0C00-000008000000}" name="Retest/Evid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opLeftCell="A31" workbookViewId="0">
      <selection sqref="A1:F1"/>
    </sheetView>
  </sheetViews>
  <sheetFormatPr defaultRowHeight="13.8"/>
  <cols>
    <col min="1" max="1" width="8" customWidth="1"/>
    <col min="2" max="2" width="38" customWidth="1"/>
    <col min="3" max="3" width="10" customWidth="1"/>
    <col min="4" max="4" width="18" customWidth="1"/>
    <col min="5" max="5" width="15" customWidth="1"/>
    <col min="6" max="6" width="25" customWidth="1"/>
  </cols>
  <sheetData>
    <row r="1" spans="1:6" ht="21">
      <c r="A1" s="3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</row>
    <row r="3" spans="1:6">
      <c r="A3" s="1" t="s">
        <v>1</v>
      </c>
      <c r="B3" s="1" t="s">
        <v>2</v>
      </c>
      <c r="C3" s="1" t="s">
        <v>3</v>
      </c>
    </row>
    <row r="4" spans="1:6" ht="27.6">
      <c r="A4" s="2" t="s">
        <v>4</v>
      </c>
      <c r="B4" s="2">
        <f>COUNTIF('00_Doi_chieu_YC'!C2:C10,"Đạt")+COUNTIF('00_Doi_chieu_YC'!C2:C10,"Đã bổ sung")</f>
        <v>5</v>
      </c>
      <c r="C4" s="2" t="s">
        <v>5</v>
      </c>
    </row>
    <row r="5" spans="1:6" ht="55.2">
      <c r="A5" s="2" t="s">
        <v>6</v>
      </c>
      <c r="B5" s="2">
        <f>COUNTIF('00_Doi_chieu_YC'!C2:C10,"Một phần")</f>
        <v>3</v>
      </c>
      <c r="C5" s="2" t="s">
        <v>7</v>
      </c>
    </row>
    <row r="6" spans="1:6" ht="41.4">
      <c r="A6" s="2" t="s">
        <v>8</v>
      </c>
      <c r="B6" s="2">
        <f>COUNTIF('00_Doi_chieu_YC'!C2:C10,"Cần thực hiện thật")</f>
        <v>1</v>
      </c>
      <c r="C6" s="2" t="s">
        <v>9</v>
      </c>
    </row>
    <row r="7" spans="1:6" ht="27.6">
      <c r="A7" s="2" t="s">
        <v>10</v>
      </c>
      <c r="B7" s="2">
        <f>COUNTA('00_Doi_chieu_YC'!A2:A10)</f>
        <v>9</v>
      </c>
      <c r="C7" s="2" t="s">
        <v>11</v>
      </c>
    </row>
    <row r="9" spans="1:6">
      <c r="A9" s="4" t="s">
        <v>12</v>
      </c>
      <c r="B9" s="4" t="s">
        <v>12</v>
      </c>
      <c r="C9" s="4" t="s">
        <v>12</v>
      </c>
      <c r="D9" s="4" t="s">
        <v>12</v>
      </c>
      <c r="E9" s="4" t="s">
        <v>12</v>
      </c>
      <c r="F9" s="4" t="s">
        <v>12</v>
      </c>
    </row>
    <row r="10" spans="1:6">
      <c r="A10" s="1" t="s">
        <v>13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3</v>
      </c>
    </row>
    <row r="11" spans="1:6">
      <c r="A11" s="2" t="s">
        <v>18</v>
      </c>
      <c r="B11" s="2" t="s">
        <v>19</v>
      </c>
      <c r="C11" s="2" t="s">
        <v>20</v>
      </c>
      <c r="D11" s="2" t="s">
        <v>21</v>
      </c>
      <c r="E11" s="2"/>
      <c r="F11" s="2"/>
    </row>
    <row r="12" spans="1:6" ht="27.6">
      <c r="A12" s="2" t="s">
        <v>22</v>
      </c>
      <c r="B12" s="2" t="s">
        <v>23</v>
      </c>
      <c r="C12" s="2" t="s">
        <v>24</v>
      </c>
      <c r="D12" s="2" t="s">
        <v>21</v>
      </c>
      <c r="E12" s="2"/>
      <c r="F12" s="2"/>
    </row>
    <row r="13" spans="1:6">
      <c r="A13" s="2" t="s">
        <v>25</v>
      </c>
      <c r="B13" s="2" t="s">
        <v>26</v>
      </c>
      <c r="C13" s="2" t="s">
        <v>27</v>
      </c>
      <c r="D13" s="2" t="s">
        <v>21</v>
      </c>
      <c r="E13" s="2"/>
      <c r="F13" s="2"/>
    </row>
    <row r="14" spans="1:6">
      <c r="A14" s="2" t="s">
        <v>28</v>
      </c>
      <c r="B14" s="2" t="s">
        <v>29</v>
      </c>
      <c r="C14" s="2" t="s">
        <v>30</v>
      </c>
      <c r="D14" s="2" t="s">
        <v>21</v>
      </c>
      <c r="E14" s="2"/>
      <c r="F14" s="2"/>
    </row>
    <row r="15" spans="1:6">
      <c r="A15" s="2" t="s">
        <v>31</v>
      </c>
      <c r="B15" s="2" t="s">
        <v>32</v>
      </c>
      <c r="C15" s="2" t="s">
        <v>33</v>
      </c>
      <c r="D15" s="2" t="s">
        <v>21</v>
      </c>
      <c r="E15" s="2"/>
      <c r="F15" s="2"/>
    </row>
  </sheetData>
  <mergeCells count="2">
    <mergeCell ref="A1:F1"/>
    <mergeCell ref="A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defaultRowHeight="13.8"/>
  <cols>
    <col min="1" max="1" width="8" customWidth="1"/>
    <col min="2" max="2" width="32" customWidth="1"/>
    <col min="3" max="3" width="16" customWidth="1"/>
    <col min="4" max="4" width="48" customWidth="1"/>
    <col min="5" max="5" width="36" customWidth="1"/>
  </cols>
  <sheetData>
    <row r="1" spans="1:5" ht="12" customHeight="1">
      <c r="A1" s="1" t="s">
        <v>34</v>
      </c>
      <c r="B1" s="1" t="s">
        <v>35</v>
      </c>
      <c r="C1" s="1" t="s">
        <v>36</v>
      </c>
      <c r="D1" s="1" t="s">
        <v>3</v>
      </c>
      <c r="E1" s="1" t="s">
        <v>37</v>
      </c>
    </row>
    <row r="2" spans="1:5" ht="12" customHeight="1">
      <c r="A2" s="2" t="s">
        <v>38</v>
      </c>
      <c r="B2" s="2" t="s">
        <v>39</v>
      </c>
      <c r="C2" s="2" t="s">
        <v>40</v>
      </c>
      <c r="D2" s="2" t="s">
        <v>41</v>
      </c>
      <c r="E2" s="2" t="s">
        <v>42</v>
      </c>
    </row>
    <row r="3" spans="1:5" ht="12" customHeight="1">
      <c r="A3" s="2" t="s">
        <v>20</v>
      </c>
      <c r="B3" s="2" t="s">
        <v>43</v>
      </c>
      <c r="C3" s="2" t="s">
        <v>6</v>
      </c>
      <c r="D3" s="2" t="s">
        <v>44</v>
      </c>
      <c r="E3" s="2" t="s">
        <v>45</v>
      </c>
    </row>
    <row r="4" spans="1:5" ht="12" customHeight="1">
      <c r="A4" s="2" t="s">
        <v>46</v>
      </c>
      <c r="B4" s="2" t="s">
        <v>47</v>
      </c>
      <c r="C4" s="2" t="s">
        <v>6</v>
      </c>
      <c r="D4" s="2" t="s">
        <v>48</v>
      </c>
      <c r="E4" s="2" t="s">
        <v>49</v>
      </c>
    </row>
    <row r="5" spans="1:5" ht="12" customHeight="1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</row>
    <row r="6" spans="1:5" ht="12" customHeight="1">
      <c r="A6" s="2" t="s">
        <v>55</v>
      </c>
      <c r="B6" s="2" t="s">
        <v>56</v>
      </c>
      <c r="C6" s="2" t="s">
        <v>6</v>
      </c>
      <c r="D6" s="2" t="s">
        <v>57</v>
      </c>
      <c r="E6" s="2" t="s">
        <v>58</v>
      </c>
    </row>
    <row r="7" spans="1:5" ht="12" customHeight="1">
      <c r="A7" s="2" t="s">
        <v>24</v>
      </c>
      <c r="B7" s="2" t="s">
        <v>59</v>
      </c>
      <c r="C7" s="2" t="s">
        <v>40</v>
      </c>
      <c r="D7" s="2" t="s">
        <v>60</v>
      </c>
      <c r="E7" s="2" t="s">
        <v>61</v>
      </c>
    </row>
    <row r="8" spans="1:5" ht="12" customHeight="1">
      <c r="A8" s="2" t="s">
        <v>27</v>
      </c>
      <c r="B8" s="2" t="s">
        <v>62</v>
      </c>
      <c r="C8" s="2" t="s">
        <v>52</v>
      </c>
      <c r="D8" s="2" t="s">
        <v>63</v>
      </c>
      <c r="E8" s="2" t="s">
        <v>64</v>
      </c>
    </row>
    <row r="9" spans="1:5" ht="12" customHeight="1">
      <c r="A9" s="2" t="s">
        <v>30</v>
      </c>
      <c r="B9" s="2" t="s">
        <v>65</v>
      </c>
      <c r="C9" s="2" t="s">
        <v>52</v>
      </c>
      <c r="D9" s="2" t="s">
        <v>66</v>
      </c>
      <c r="E9" s="2" t="s">
        <v>67</v>
      </c>
    </row>
    <row r="10" spans="1:5" ht="12" customHeight="1">
      <c r="A10" s="2" t="s">
        <v>33</v>
      </c>
      <c r="B10" s="2" t="s">
        <v>68</v>
      </c>
      <c r="C10" s="2" t="s">
        <v>8</v>
      </c>
      <c r="D10" s="2" t="s">
        <v>69</v>
      </c>
      <c r="E10" s="2" t="s">
        <v>70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/>
  </sheetViews>
  <sheetFormatPr defaultRowHeight="13.8"/>
  <cols>
    <col min="1" max="1" width="8" customWidth="1"/>
    <col min="2" max="2" width="30" customWidth="1"/>
    <col min="3" max="3" width="42" customWidth="1"/>
    <col min="4" max="4" width="35" customWidth="1"/>
    <col min="5" max="5" width="16" customWidth="1"/>
  </cols>
  <sheetData>
    <row r="1" spans="1:5" ht="12" customHeight="1">
      <c r="A1" s="1" t="s">
        <v>71</v>
      </c>
      <c r="B1" s="1" t="s">
        <v>35</v>
      </c>
      <c r="C1" s="1" t="s">
        <v>37</v>
      </c>
      <c r="D1" s="1" t="s">
        <v>3</v>
      </c>
      <c r="E1" s="1" t="s">
        <v>72</v>
      </c>
    </row>
    <row r="2" spans="1:5" ht="12" customHeight="1">
      <c r="A2" s="2" t="s">
        <v>38</v>
      </c>
      <c r="B2" s="2" t="s">
        <v>73</v>
      </c>
      <c r="C2" s="2" t="s">
        <v>42</v>
      </c>
      <c r="D2" s="2" t="s">
        <v>74</v>
      </c>
      <c r="E2" s="2" t="s">
        <v>75</v>
      </c>
    </row>
    <row r="3" spans="1:5" ht="12" customHeight="1">
      <c r="A3" s="2" t="s">
        <v>20</v>
      </c>
      <c r="B3" s="2" t="s">
        <v>76</v>
      </c>
      <c r="C3" s="2" t="s">
        <v>45</v>
      </c>
      <c r="D3" s="2" t="s">
        <v>77</v>
      </c>
      <c r="E3" s="2" t="s">
        <v>78</v>
      </c>
    </row>
    <row r="4" spans="1:5" ht="12" customHeight="1">
      <c r="A4" s="2" t="s">
        <v>46</v>
      </c>
      <c r="B4" s="2" t="s">
        <v>79</v>
      </c>
      <c r="C4" s="2" t="s">
        <v>49</v>
      </c>
      <c r="D4" s="2" t="s">
        <v>80</v>
      </c>
      <c r="E4" s="2" t="s">
        <v>78</v>
      </c>
    </row>
    <row r="5" spans="1:5" ht="12" customHeight="1">
      <c r="A5" s="2" t="s">
        <v>50</v>
      </c>
      <c r="B5" s="2" t="s">
        <v>81</v>
      </c>
      <c r="C5" s="2" t="s">
        <v>82</v>
      </c>
      <c r="D5" s="2" t="s">
        <v>83</v>
      </c>
      <c r="E5" s="2" t="s">
        <v>75</v>
      </c>
    </row>
    <row r="6" spans="1:5" ht="12" customHeight="1">
      <c r="A6" s="2" t="s">
        <v>55</v>
      </c>
      <c r="B6" s="2" t="s">
        <v>84</v>
      </c>
      <c r="C6" s="2" t="s">
        <v>85</v>
      </c>
      <c r="D6" s="2" t="s">
        <v>86</v>
      </c>
      <c r="E6" s="2" t="s">
        <v>78</v>
      </c>
    </row>
    <row r="7" spans="1:5" ht="12" customHeight="1">
      <c r="A7" s="2" t="s">
        <v>24</v>
      </c>
      <c r="B7" s="2" t="s">
        <v>87</v>
      </c>
      <c r="C7" s="2" t="s">
        <v>88</v>
      </c>
      <c r="D7" s="2" t="s">
        <v>89</v>
      </c>
      <c r="E7" s="2" t="s">
        <v>75</v>
      </c>
    </row>
    <row r="8" spans="1:5" ht="12" customHeight="1">
      <c r="A8" s="2" t="s">
        <v>27</v>
      </c>
      <c r="B8" s="2" t="s">
        <v>90</v>
      </c>
      <c r="C8" s="2" t="s">
        <v>91</v>
      </c>
      <c r="D8" s="2" t="s">
        <v>92</v>
      </c>
      <c r="E8" s="2" t="s">
        <v>75</v>
      </c>
    </row>
    <row r="9" spans="1:5" ht="12" customHeight="1">
      <c r="A9" s="2" t="s">
        <v>30</v>
      </c>
      <c r="B9" s="2" t="s">
        <v>93</v>
      </c>
      <c r="C9" s="2" t="s">
        <v>94</v>
      </c>
      <c r="D9" s="2" t="s">
        <v>95</v>
      </c>
      <c r="E9" s="2" t="s">
        <v>75</v>
      </c>
    </row>
    <row r="10" spans="1:5" ht="12" customHeight="1">
      <c r="A10" s="2" t="s">
        <v>33</v>
      </c>
      <c r="B10" s="2" t="s">
        <v>96</v>
      </c>
      <c r="C10" s="2" t="s">
        <v>70</v>
      </c>
      <c r="D10" s="2" t="s">
        <v>97</v>
      </c>
      <c r="E10" s="2" t="s">
        <v>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/>
  </sheetViews>
  <sheetFormatPr defaultRowHeight="13.8"/>
  <cols>
    <col min="1" max="1" width="10" customWidth="1"/>
    <col min="2" max="2" width="28" customWidth="1"/>
    <col min="3" max="3" width="38" customWidth="1"/>
    <col min="4" max="4" width="14" customWidth="1"/>
    <col min="5" max="5" width="16" customWidth="1"/>
    <col min="6" max="6" width="28" customWidth="1"/>
  </cols>
  <sheetData>
    <row r="1" spans="1:6" ht="12" customHeight="1">
      <c r="A1" s="1" t="s">
        <v>99</v>
      </c>
      <c r="B1" s="1" t="s">
        <v>100</v>
      </c>
      <c r="C1" s="1" t="s">
        <v>101</v>
      </c>
      <c r="D1" s="1" t="s">
        <v>21</v>
      </c>
      <c r="E1" s="1" t="s">
        <v>102</v>
      </c>
      <c r="F1" s="1" t="s">
        <v>103</v>
      </c>
    </row>
    <row r="2" spans="1:6" ht="12" customHeight="1">
      <c r="A2" s="2" t="s">
        <v>104</v>
      </c>
      <c r="B2" s="2" t="s">
        <v>105</v>
      </c>
      <c r="C2" s="2" t="s">
        <v>106</v>
      </c>
      <c r="D2" s="2" t="s">
        <v>107</v>
      </c>
      <c r="E2" s="2" t="s">
        <v>108</v>
      </c>
      <c r="F2" s="2" t="s">
        <v>49</v>
      </c>
    </row>
    <row r="3" spans="1:6" ht="12" customHeight="1">
      <c r="A3" s="2" t="s">
        <v>109</v>
      </c>
      <c r="B3" s="2" t="s">
        <v>110</v>
      </c>
      <c r="C3" s="2" t="s">
        <v>111</v>
      </c>
      <c r="D3" s="2" t="s">
        <v>107</v>
      </c>
      <c r="E3" s="2" t="s">
        <v>108</v>
      </c>
      <c r="F3" s="2" t="s">
        <v>49</v>
      </c>
    </row>
    <row r="4" spans="1:6" ht="12" customHeight="1">
      <c r="A4" s="2" t="s">
        <v>112</v>
      </c>
      <c r="B4" s="2" t="s">
        <v>113</v>
      </c>
      <c r="C4" s="2" t="s">
        <v>114</v>
      </c>
      <c r="D4" s="2" t="s">
        <v>115</v>
      </c>
      <c r="E4" s="2" t="s">
        <v>108</v>
      </c>
      <c r="F4" s="2" t="s">
        <v>49</v>
      </c>
    </row>
    <row r="5" spans="1:6" ht="12" customHeight="1">
      <c r="A5" s="2" t="s">
        <v>116</v>
      </c>
      <c r="B5" s="2" t="s">
        <v>117</v>
      </c>
      <c r="C5" s="2" t="s">
        <v>118</v>
      </c>
      <c r="D5" s="2" t="s">
        <v>107</v>
      </c>
      <c r="E5" s="2" t="s">
        <v>108</v>
      </c>
      <c r="F5" s="2" t="s">
        <v>49</v>
      </c>
    </row>
    <row r="6" spans="1:6" ht="12" customHeight="1">
      <c r="A6" s="2" t="s">
        <v>119</v>
      </c>
      <c r="B6" s="2" t="s">
        <v>120</v>
      </c>
      <c r="C6" s="2" t="s">
        <v>121</v>
      </c>
      <c r="D6" s="2" t="s">
        <v>107</v>
      </c>
      <c r="E6" s="2" t="s">
        <v>108</v>
      </c>
      <c r="F6" s="2" t="s">
        <v>49</v>
      </c>
    </row>
    <row r="7" spans="1:6" ht="12" customHeight="1">
      <c r="A7" s="2" t="s">
        <v>122</v>
      </c>
      <c r="B7" s="2" t="s">
        <v>123</v>
      </c>
      <c r="C7" s="2" t="s">
        <v>124</v>
      </c>
      <c r="D7" s="2" t="s">
        <v>125</v>
      </c>
      <c r="E7" s="2" t="s">
        <v>108</v>
      </c>
      <c r="F7" s="2" t="s">
        <v>49</v>
      </c>
    </row>
  </sheetData>
  <dataValidations count="1">
    <dataValidation type="list" sqref="E2:E200" xr:uid="{00000000-0002-0000-0300-000000000000}">
      <formula1>"Done,Ready,Need check,Need run,Pending execution,Blocked,N/A"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/>
  </sheetViews>
  <sheetFormatPr defaultRowHeight="13.8"/>
  <cols>
    <col min="1" max="1" width="10" customWidth="1"/>
    <col min="2" max="2" width="28" customWidth="1"/>
    <col min="3" max="3" width="38" customWidth="1"/>
    <col min="4" max="4" width="14" customWidth="1"/>
    <col min="5" max="5" width="16" customWidth="1"/>
    <col min="6" max="6" width="28" customWidth="1"/>
  </cols>
  <sheetData>
    <row r="1" spans="1:6" ht="12" customHeight="1">
      <c r="A1" s="1" t="s">
        <v>99</v>
      </c>
      <c r="B1" s="1" t="s">
        <v>100</v>
      </c>
      <c r="C1" s="1" t="s">
        <v>101</v>
      </c>
      <c r="D1" s="1" t="s">
        <v>21</v>
      </c>
      <c r="E1" s="1" t="s">
        <v>102</v>
      </c>
      <c r="F1" s="1" t="s">
        <v>103</v>
      </c>
    </row>
    <row r="2" spans="1:6" ht="12" customHeight="1">
      <c r="A2" s="2" t="s">
        <v>126</v>
      </c>
      <c r="B2" s="2" t="s">
        <v>127</v>
      </c>
      <c r="C2" s="2" t="s">
        <v>128</v>
      </c>
      <c r="D2" s="2" t="s">
        <v>115</v>
      </c>
      <c r="E2" s="2" t="s">
        <v>129</v>
      </c>
      <c r="F2" s="2" t="s">
        <v>130</v>
      </c>
    </row>
    <row r="3" spans="1:6" ht="12" customHeight="1">
      <c r="A3" s="2" t="s">
        <v>131</v>
      </c>
      <c r="B3" s="2" t="s">
        <v>132</v>
      </c>
      <c r="C3" s="2" t="s">
        <v>133</v>
      </c>
      <c r="D3" s="2" t="s">
        <v>115</v>
      </c>
      <c r="E3" s="2" t="s">
        <v>134</v>
      </c>
      <c r="F3" s="2" t="s">
        <v>135</v>
      </c>
    </row>
    <row r="4" spans="1:6" ht="12" customHeight="1">
      <c r="A4" s="2" t="s">
        <v>136</v>
      </c>
      <c r="B4" s="2" t="s">
        <v>137</v>
      </c>
      <c r="C4" s="2" t="s">
        <v>138</v>
      </c>
      <c r="D4" s="2" t="s">
        <v>115</v>
      </c>
      <c r="E4" s="2" t="s">
        <v>134</v>
      </c>
      <c r="F4" s="2" t="s">
        <v>135</v>
      </c>
    </row>
    <row r="5" spans="1:6" ht="12" customHeight="1">
      <c r="A5" s="2" t="s">
        <v>139</v>
      </c>
      <c r="B5" s="2" t="s">
        <v>140</v>
      </c>
      <c r="C5" s="2" t="s">
        <v>141</v>
      </c>
      <c r="D5" s="2" t="s">
        <v>142</v>
      </c>
      <c r="E5" s="2" t="s">
        <v>134</v>
      </c>
      <c r="F5" s="2" t="s">
        <v>135</v>
      </c>
    </row>
    <row r="6" spans="1:6" ht="12" customHeight="1">
      <c r="A6" s="2" t="s">
        <v>143</v>
      </c>
      <c r="B6" s="2" t="s">
        <v>144</v>
      </c>
      <c r="C6" s="2" t="s">
        <v>145</v>
      </c>
      <c r="D6" s="2" t="s">
        <v>115</v>
      </c>
      <c r="E6" s="2" t="s">
        <v>146</v>
      </c>
      <c r="F6" s="2" t="s">
        <v>147</v>
      </c>
    </row>
    <row r="7" spans="1:6" ht="12" customHeight="1">
      <c r="A7" s="2" t="s">
        <v>148</v>
      </c>
      <c r="B7" s="2" t="s">
        <v>149</v>
      </c>
      <c r="C7" s="2" t="s">
        <v>150</v>
      </c>
      <c r="D7" s="2" t="s">
        <v>107</v>
      </c>
      <c r="E7" s="2" t="s">
        <v>129</v>
      </c>
      <c r="F7" s="2" t="s">
        <v>149</v>
      </c>
    </row>
  </sheetData>
  <dataValidations count="1">
    <dataValidation type="list" sqref="E2:E200" xr:uid="{00000000-0002-0000-0400-000000000000}">
      <formula1>"Done,Ready,Need check,Need run,Pending execution,Blocked,N/A"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/>
  </sheetViews>
  <sheetFormatPr defaultRowHeight="13.8"/>
  <cols>
    <col min="1" max="1" width="10" customWidth="1"/>
    <col min="2" max="2" width="28" customWidth="1"/>
    <col min="3" max="3" width="38" customWidth="1"/>
    <col min="4" max="4" width="14" customWidth="1"/>
    <col min="5" max="5" width="16" customWidth="1"/>
    <col min="6" max="6" width="28" customWidth="1"/>
  </cols>
  <sheetData>
    <row r="1" spans="1:6" ht="12" customHeight="1">
      <c r="A1" s="1" t="s">
        <v>99</v>
      </c>
      <c r="B1" s="1" t="s">
        <v>100</v>
      </c>
      <c r="C1" s="1" t="s">
        <v>101</v>
      </c>
      <c r="D1" s="1" t="s">
        <v>21</v>
      </c>
      <c r="E1" s="1" t="s">
        <v>102</v>
      </c>
      <c r="F1" s="1" t="s">
        <v>103</v>
      </c>
    </row>
    <row r="2" spans="1:6" ht="12" customHeight="1">
      <c r="A2" s="2" t="s">
        <v>151</v>
      </c>
      <c r="B2" s="2" t="s">
        <v>152</v>
      </c>
      <c r="C2" s="2" t="s">
        <v>153</v>
      </c>
      <c r="D2" s="2" t="s">
        <v>115</v>
      </c>
      <c r="E2" s="2" t="s">
        <v>129</v>
      </c>
      <c r="F2" s="2" t="s">
        <v>154</v>
      </c>
    </row>
    <row r="3" spans="1:6" ht="12" customHeight="1">
      <c r="A3" s="2" t="s">
        <v>155</v>
      </c>
      <c r="B3" s="2" t="s">
        <v>156</v>
      </c>
      <c r="C3" s="2" t="s">
        <v>157</v>
      </c>
      <c r="D3" s="2" t="s">
        <v>115</v>
      </c>
      <c r="E3" s="2" t="s">
        <v>129</v>
      </c>
      <c r="F3" s="2" t="s">
        <v>154</v>
      </c>
    </row>
    <row r="4" spans="1:6" ht="12" customHeight="1">
      <c r="A4" s="2" t="s">
        <v>158</v>
      </c>
      <c r="B4" s="2" t="s">
        <v>159</v>
      </c>
      <c r="C4" s="2" t="s">
        <v>160</v>
      </c>
      <c r="D4" s="2" t="s">
        <v>115</v>
      </c>
      <c r="E4" s="2" t="s">
        <v>129</v>
      </c>
      <c r="F4" s="2" t="s">
        <v>161</v>
      </c>
    </row>
    <row r="5" spans="1:6" ht="12" customHeight="1">
      <c r="A5" s="2" t="s">
        <v>162</v>
      </c>
      <c r="B5" s="2" t="s">
        <v>163</v>
      </c>
      <c r="C5" s="2" t="s">
        <v>164</v>
      </c>
      <c r="D5" s="2" t="s">
        <v>115</v>
      </c>
      <c r="E5" s="2" t="s">
        <v>129</v>
      </c>
      <c r="F5" s="2" t="s">
        <v>165</v>
      </c>
    </row>
    <row r="6" spans="1:6" ht="12" customHeight="1">
      <c r="A6" s="2" t="s">
        <v>166</v>
      </c>
      <c r="B6" s="2" t="s">
        <v>167</v>
      </c>
      <c r="C6" s="2" t="s">
        <v>168</v>
      </c>
      <c r="D6" s="2" t="s">
        <v>115</v>
      </c>
      <c r="E6" s="2" t="s">
        <v>169</v>
      </c>
      <c r="F6" s="2" t="s">
        <v>170</v>
      </c>
    </row>
    <row r="7" spans="1:6" ht="12" customHeight="1">
      <c r="A7" s="2" t="s">
        <v>171</v>
      </c>
      <c r="B7" s="2" t="s">
        <v>172</v>
      </c>
      <c r="C7" s="2" t="s">
        <v>173</v>
      </c>
      <c r="D7" s="2" t="s">
        <v>115</v>
      </c>
      <c r="E7" s="2" t="s">
        <v>129</v>
      </c>
      <c r="F7" s="2" t="s">
        <v>154</v>
      </c>
    </row>
  </sheetData>
  <dataValidations count="1">
    <dataValidation type="list" sqref="E2:E200" xr:uid="{00000000-0002-0000-0500-000000000000}">
      <formula1>"Done,Ready,Need check,Need run,Pending execution,Blocked,N/A"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workbookViewId="0"/>
  </sheetViews>
  <sheetFormatPr defaultRowHeight="13.8"/>
  <cols>
    <col min="1" max="1" width="10" customWidth="1"/>
    <col min="2" max="2" width="28" customWidth="1"/>
    <col min="3" max="3" width="38" customWidth="1"/>
    <col min="4" max="4" width="14" customWidth="1"/>
    <col min="5" max="5" width="16" customWidth="1"/>
    <col min="6" max="6" width="28" customWidth="1"/>
  </cols>
  <sheetData>
    <row r="1" spans="1:6" ht="12" customHeight="1">
      <c r="A1" s="1" t="s">
        <v>99</v>
      </c>
      <c r="B1" s="1" t="s">
        <v>100</v>
      </c>
      <c r="C1" s="1" t="s">
        <v>101</v>
      </c>
      <c r="D1" s="1" t="s">
        <v>21</v>
      </c>
      <c r="E1" s="1" t="s">
        <v>102</v>
      </c>
      <c r="F1" s="1" t="s">
        <v>103</v>
      </c>
    </row>
    <row r="2" spans="1:6" ht="12" customHeight="1">
      <c r="A2" s="2" t="s">
        <v>174</v>
      </c>
      <c r="B2" s="2" t="s">
        <v>175</v>
      </c>
      <c r="C2" s="2" t="s">
        <v>176</v>
      </c>
      <c r="D2" s="2" t="s">
        <v>142</v>
      </c>
      <c r="E2" s="2" t="s">
        <v>108</v>
      </c>
      <c r="F2" s="2" t="s">
        <v>177</v>
      </c>
    </row>
    <row r="3" spans="1:6" ht="12" customHeight="1">
      <c r="A3" s="2" t="s">
        <v>178</v>
      </c>
      <c r="B3" s="2" t="s">
        <v>179</v>
      </c>
      <c r="C3" s="2" t="s">
        <v>180</v>
      </c>
      <c r="D3" s="2" t="s">
        <v>142</v>
      </c>
      <c r="E3" s="2" t="s">
        <v>108</v>
      </c>
      <c r="F3" s="2" t="s">
        <v>177</v>
      </c>
    </row>
    <row r="4" spans="1:6" ht="12" customHeight="1">
      <c r="A4" s="2" t="s">
        <v>181</v>
      </c>
      <c r="B4" s="2" t="s">
        <v>182</v>
      </c>
      <c r="C4" s="2" t="s">
        <v>183</v>
      </c>
      <c r="D4" s="2" t="s">
        <v>142</v>
      </c>
      <c r="E4" s="2" t="s">
        <v>108</v>
      </c>
      <c r="F4" s="2" t="s">
        <v>184</v>
      </c>
    </row>
    <row r="5" spans="1:6" ht="12" customHeight="1">
      <c r="A5" s="2" t="s">
        <v>185</v>
      </c>
      <c r="B5" s="2" t="s">
        <v>186</v>
      </c>
      <c r="C5" s="2" t="s">
        <v>187</v>
      </c>
      <c r="D5" s="2" t="s">
        <v>142</v>
      </c>
      <c r="E5" s="2" t="s">
        <v>108</v>
      </c>
      <c r="F5" s="2" t="s">
        <v>188</v>
      </c>
    </row>
    <row r="6" spans="1:6" ht="12" customHeight="1">
      <c r="A6" s="2" t="s">
        <v>189</v>
      </c>
      <c r="B6" s="2" t="s">
        <v>190</v>
      </c>
      <c r="C6" s="2" t="s">
        <v>191</v>
      </c>
      <c r="D6" s="2" t="s">
        <v>142</v>
      </c>
      <c r="E6" s="2" t="s">
        <v>129</v>
      </c>
      <c r="F6" s="2" t="s">
        <v>192</v>
      </c>
    </row>
    <row r="7" spans="1:6" ht="12" customHeight="1">
      <c r="A7" s="2" t="s">
        <v>193</v>
      </c>
      <c r="B7" s="2" t="s">
        <v>194</v>
      </c>
      <c r="C7" s="2" t="s">
        <v>195</v>
      </c>
      <c r="D7" s="2" t="s">
        <v>142</v>
      </c>
      <c r="E7" s="2" t="s">
        <v>108</v>
      </c>
      <c r="F7" s="2" t="s">
        <v>196</v>
      </c>
    </row>
  </sheetData>
  <dataValidations count="1">
    <dataValidation type="list" sqref="E2:E200" xr:uid="{00000000-0002-0000-0600-000000000000}">
      <formula1>"Done,Ready,Need check,Need run,Pending execution,Blocked,N/A"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"/>
  <sheetViews>
    <sheetView workbookViewId="0"/>
  </sheetViews>
  <sheetFormatPr defaultRowHeight="13.8"/>
  <cols>
    <col min="1" max="1" width="10" customWidth="1"/>
    <col min="2" max="2" width="28" customWidth="1"/>
    <col min="3" max="3" width="38" customWidth="1"/>
    <col min="4" max="4" width="14" customWidth="1"/>
    <col min="5" max="5" width="16" customWidth="1"/>
    <col min="6" max="6" width="28" customWidth="1"/>
  </cols>
  <sheetData>
    <row r="1" spans="1:6" ht="12" customHeight="1">
      <c r="A1" s="1" t="s">
        <v>99</v>
      </c>
      <c r="B1" s="1" t="s">
        <v>100</v>
      </c>
      <c r="C1" s="1" t="s">
        <v>101</v>
      </c>
      <c r="D1" s="1" t="s">
        <v>21</v>
      </c>
      <c r="E1" s="1" t="s">
        <v>102</v>
      </c>
      <c r="F1" s="1" t="s">
        <v>103</v>
      </c>
    </row>
    <row r="2" spans="1:6" ht="12" customHeight="1">
      <c r="A2" s="2" t="s">
        <v>197</v>
      </c>
      <c r="B2" s="2" t="s">
        <v>198</v>
      </c>
      <c r="C2" s="2" t="s">
        <v>199</v>
      </c>
      <c r="D2" s="2" t="s">
        <v>115</v>
      </c>
      <c r="E2" s="2" t="s">
        <v>169</v>
      </c>
      <c r="F2" s="2" t="s">
        <v>200</v>
      </c>
    </row>
    <row r="3" spans="1:6" ht="12" customHeight="1">
      <c r="A3" s="2" t="s">
        <v>201</v>
      </c>
      <c r="B3" s="2" t="s">
        <v>202</v>
      </c>
      <c r="C3" s="2" t="s">
        <v>203</v>
      </c>
      <c r="D3" s="2" t="s">
        <v>115</v>
      </c>
      <c r="E3" s="2" t="s">
        <v>169</v>
      </c>
      <c r="F3" s="2" t="s">
        <v>204</v>
      </c>
    </row>
    <row r="4" spans="1:6" ht="12" customHeight="1">
      <c r="A4" s="2" t="s">
        <v>205</v>
      </c>
      <c r="B4" s="2" t="s">
        <v>206</v>
      </c>
      <c r="C4" s="2" t="s">
        <v>207</v>
      </c>
      <c r="D4" s="2" t="s">
        <v>115</v>
      </c>
      <c r="E4" s="2" t="s">
        <v>169</v>
      </c>
      <c r="F4" s="2" t="s">
        <v>200</v>
      </c>
    </row>
    <row r="5" spans="1:6" ht="12" customHeight="1">
      <c r="A5" s="2" t="s">
        <v>208</v>
      </c>
      <c r="B5" s="2" t="s">
        <v>209</v>
      </c>
      <c r="C5" s="2" t="s">
        <v>210</v>
      </c>
      <c r="D5" s="2" t="s">
        <v>115</v>
      </c>
      <c r="E5" s="2" t="s">
        <v>169</v>
      </c>
      <c r="F5" s="2" t="s">
        <v>211</v>
      </c>
    </row>
    <row r="6" spans="1:6" ht="12" customHeight="1">
      <c r="A6" s="2" t="s">
        <v>212</v>
      </c>
      <c r="B6" s="2" t="s">
        <v>213</v>
      </c>
      <c r="C6" s="2" t="s">
        <v>214</v>
      </c>
      <c r="D6" s="2" t="s">
        <v>115</v>
      </c>
      <c r="E6" s="2" t="s">
        <v>169</v>
      </c>
      <c r="F6" s="2" t="s">
        <v>215</v>
      </c>
    </row>
    <row r="7" spans="1:6" ht="12" customHeight="1">
      <c r="A7" s="2" t="s">
        <v>216</v>
      </c>
      <c r="B7" s="2" t="s">
        <v>217</v>
      </c>
      <c r="C7" s="2" t="s">
        <v>218</v>
      </c>
      <c r="D7" s="2" t="s">
        <v>115</v>
      </c>
      <c r="E7" s="2" t="s">
        <v>169</v>
      </c>
      <c r="F7" s="2" t="s">
        <v>219</v>
      </c>
    </row>
  </sheetData>
  <dataValidations count="1">
    <dataValidation type="list" sqref="E2:E200" xr:uid="{00000000-0002-0000-0700-000000000000}">
      <formula1>"Done,Ready,Need check,Need run,Pending execution,Blocked,N/A"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8"/>
  <sheetViews>
    <sheetView workbookViewId="0"/>
  </sheetViews>
  <sheetFormatPr defaultRowHeight="13.8"/>
  <cols>
    <col min="1" max="1" width="10" customWidth="1"/>
    <col min="2" max="2" width="30" customWidth="1"/>
    <col min="3" max="3" width="12" customWidth="1"/>
    <col min="4" max="6" width="28" customWidth="1"/>
    <col min="7" max="7" width="14" customWidth="1"/>
    <col min="8" max="8" width="30" customWidth="1"/>
  </cols>
  <sheetData>
    <row r="1" spans="1:8" ht="12" customHeight="1">
      <c r="A1" s="1" t="s">
        <v>243</v>
      </c>
      <c r="B1" s="1" t="s">
        <v>244</v>
      </c>
      <c r="C1" s="1" t="s">
        <v>15</v>
      </c>
      <c r="D1" s="1" t="s">
        <v>245</v>
      </c>
      <c r="E1" s="1" t="s">
        <v>246</v>
      </c>
      <c r="F1" s="1" t="s">
        <v>247</v>
      </c>
      <c r="G1" s="1" t="s">
        <v>102</v>
      </c>
      <c r="H1" s="1" t="s">
        <v>103</v>
      </c>
    </row>
    <row r="2" spans="1:8" ht="12" customHeight="1">
      <c r="A2" s="2" t="s">
        <v>248</v>
      </c>
      <c r="B2" s="2" t="s">
        <v>249</v>
      </c>
      <c r="C2" s="2" t="s">
        <v>250</v>
      </c>
      <c r="D2" s="2" t="s">
        <v>251</v>
      </c>
      <c r="E2" s="2" t="s">
        <v>252</v>
      </c>
      <c r="F2" s="2"/>
      <c r="G2" s="2" t="s">
        <v>253</v>
      </c>
      <c r="H2" s="2"/>
    </row>
    <row r="3" spans="1:8" ht="12" customHeight="1">
      <c r="A3" s="2" t="s">
        <v>254</v>
      </c>
      <c r="B3" s="2" t="s">
        <v>255</v>
      </c>
      <c r="C3" s="2" t="s">
        <v>256</v>
      </c>
      <c r="D3" s="2" t="s">
        <v>257</v>
      </c>
      <c r="E3" s="2" t="s">
        <v>258</v>
      </c>
      <c r="F3" s="2"/>
      <c r="G3" s="2" t="s">
        <v>253</v>
      </c>
      <c r="H3" s="2"/>
    </row>
    <row r="4" spans="1:8" ht="12" customHeight="1">
      <c r="A4" s="2" t="s">
        <v>259</v>
      </c>
      <c r="B4" s="2" t="s">
        <v>260</v>
      </c>
      <c r="C4" s="2" t="s">
        <v>261</v>
      </c>
      <c r="D4" s="2" t="s">
        <v>262</v>
      </c>
      <c r="E4" s="2" t="s">
        <v>263</v>
      </c>
      <c r="F4" s="2"/>
      <c r="G4" s="2" t="s">
        <v>253</v>
      </c>
      <c r="H4" s="2"/>
    </row>
    <row r="5" spans="1:8" ht="12" customHeight="1">
      <c r="A5" s="2" t="s">
        <v>264</v>
      </c>
      <c r="B5" s="2" t="s">
        <v>265</v>
      </c>
      <c r="C5" s="2" t="s">
        <v>55</v>
      </c>
      <c r="D5" s="2" t="s">
        <v>266</v>
      </c>
      <c r="E5" s="2" t="s">
        <v>267</v>
      </c>
      <c r="F5" s="2"/>
      <c r="G5" s="2" t="s">
        <v>253</v>
      </c>
      <c r="H5" s="2"/>
    </row>
    <row r="6" spans="1:8" ht="12" customHeight="1">
      <c r="A6" s="2" t="s">
        <v>268</v>
      </c>
      <c r="B6" s="2" t="s">
        <v>269</v>
      </c>
      <c r="C6" s="2" t="s">
        <v>24</v>
      </c>
      <c r="D6" s="2" t="s">
        <v>270</v>
      </c>
      <c r="E6" s="2" t="s">
        <v>271</v>
      </c>
      <c r="F6" s="2"/>
      <c r="G6" s="2" t="s">
        <v>253</v>
      </c>
      <c r="H6" s="2" t="s">
        <v>272</v>
      </c>
    </row>
    <row r="7" spans="1:8" ht="12" customHeight="1">
      <c r="A7" s="2" t="s">
        <v>273</v>
      </c>
      <c r="B7" s="2" t="s">
        <v>274</v>
      </c>
      <c r="C7" s="2" t="s">
        <v>27</v>
      </c>
      <c r="D7" s="2" t="s">
        <v>275</v>
      </c>
      <c r="E7" s="2" t="s">
        <v>276</v>
      </c>
      <c r="F7" s="2"/>
      <c r="G7" s="2" t="s">
        <v>253</v>
      </c>
      <c r="H7" s="2" t="s">
        <v>277</v>
      </c>
    </row>
    <row r="8" spans="1:8" ht="12" customHeight="1">
      <c r="A8" s="2" t="s">
        <v>278</v>
      </c>
      <c r="B8" s="2" t="s">
        <v>279</v>
      </c>
      <c r="C8" s="2" t="s">
        <v>30</v>
      </c>
      <c r="D8" s="2" t="s">
        <v>280</v>
      </c>
      <c r="E8" s="2" t="s">
        <v>281</v>
      </c>
      <c r="F8" s="2"/>
      <c r="G8" s="2" t="s">
        <v>253</v>
      </c>
      <c r="H8" s="2" t="s">
        <v>282</v>
      </c>
    </row>
  </sheetData>
  <dataValidations count="1">
    <dataValidation type="list" sqref="G2:G200" xr:uid="{00000000-0002-0000-0900-000000000000}">
      <formula1>"Pass,Fail,Not run,Open,Closed,Retest,Blocked"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"/>
  <sheetViews>
    <sheetView tabSelected="1" workbookViewId="0"/>
  </sheetViews>
  <sheetFormatPr defaultRowHeight="13.8"/>
  <cols>
    <col min="1" max="1" width="10" customWidth="1"/>
    <col min="2" max="2" width="28" customWidth="1"/>
    <col min="3" max="3" width="38" customWidth="1"/>
    <col min="4" max="4" width="14" customWidth="1"/>
    <col min="5" max="5" width="16" customWidth="1"/>
    <col min="6" max="6" width="28" customWidth="1"/>
  </cols>
  <sheetData>
    <row r="1" spans="1:6" ht="12" customHeight="1">
      <c r="A1" s="1" t="s">
        <v>99</v>
      </c>
      <c r="B1" s="1" t="s">
        <v>100</v>
      </c>
      <c r="C1" s="1" t="s">
        <v>101</v>
      </c>
      <c r="D1" s="1" t="s">
        <v>21</v>
      </c>
      <c r="E1" s="1" t="s">
        <v>102</v>
      </c>
      <c r="F1" s="1" t="s">
        <v>103</v>
      </c>
    </row>
    <row r="2" spans="1:6" ht="12" customHeight="1">
      <c r="A2" s="2" t="s">
        <v>220</v>
      </c>
      <c r="B2" s="2" t="s">
        <v>221</v>
      </c>
      <c r="C2" s="2" t="s">
        <v>222</v>
      </c>
      <c r="D2" s="2" t="s">
        <v>115</v>
      </c>
      <c r="E2" s="2" t="s">
        <v>169</v>
      </c>
      <c r="F2" s="2" t="s">
        <v>223</v>
      </c>
    </row>
    <row r="3" spans="1:6" ht="12" customHeight="1">
      <c r="A3" s="2" t="s">
        <v>224</v>
      </c>
      <c r="B3" s="2" t="s">
        <v>225</v>
      </c>
      <c r="C3" s="2" t="s">
        <v>226</v>
      </c>
      <c r="D3" s="2" t="s">
        <v>115</v>
      </c>
      <c r="E3" s="2" t="s">
        <v>169</v>
      </c>
      <c r="F3" s="2" t="s">
        <v>227</v>
      </c>
    </row>
    <row r="4" spans="1:6" ht="12" customHeight="1">
      <c r="A4" s="2" t="s">
        <v>228</v>
      </c>
      <c r="B4" s="2" t="s">
        <v>229</v>
      </c>
      <c r="C4" s="2" t="s">
        <v>230</v>
      </c>
      <c r="D4" s="2" t="s">
        <v>115</v>
      </c>
      <c r="E4" s="2" t="s">
        <v>169</v>
      </c>
      <c r="F4" s="2" t="s">
        <v>200</v>
      </c>
    </row>
    <row r="5" spans="1:6" ht="12" customHeight="1">
      <c r="A5" s="2" t="s">
        <v>231</v>
      </c>
      <c r="B5" s="2" t="s">
        <v>232</v>
      </c>
      <c r="C5" s="2" t="s">
        <v>233</v>
      </c>
      <c r="D5" s="2" t="s">
        <v>115</v>
      </c>
      <c r="E5" s="2" t="s">
        <v>169</v>
      </c>
      <c r="F5" s="2" t="s">
        <v>234</v>
      </c>
    </row>
    <row r="6" spans="1:6" ht="12" customHeight="1">
      <c r="A6" s="2" t="s">
        <v>235</v>
      </c>
      <c r="B6" s="2" t="s">
        <v>236</v>
      </c>
      <c r="C6" s="2" t="s">
        <v>237</v>
      </c>
      <c r="D6" s="2" t="s">
        <v>115</v>
      </c>
      <c r="E6" s="2" t="s">
        <v>169</v>
      </c>
      <c r="F6" s="2" t="s">
        <v>238</v>
      </c>
    </row>
    <row r="7" spans="1:6" ht="12" customHeight="1">
      <c r="A7" s="2" t="s">
        <v>239</v>
      </c>
      <c r="B7" s="2" t="s">
        <v>240</v>
      </c>
      <c r="C7" s="2" t="s">
        <v>241</v>
      </c>
      <c r="D7" s="2" t="s">
        <v>107</v>
      </c>
      <c r="E7" s="2" t="s">
        <v>129</v>
      </c>
      <c r="F7" s="2" t="s">
        <v>242</v>
      </c>
    </row>
  </sheetData>
  <dataValidations count="1">
    <dataValidation type="list" sqref="E2:E200" xr:uid="{00000000-0002-0000-0800-000000000000}">
      <formula1>"Done,Ready,Need check,Need run,Pending execution,Blocked,N/A"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"/>
  <sheetViews>
    <sheetView workbookViewId="0"/>
  </sheetViews>
  <sheetFormatPr defaultRowHeight="13.8"/>
  <cols>
    <col min="1" max="1" width="12" customWidth="1"/>
    <col min="2" max="3" width="30" customWidth="1"/>
    <col min="4" max="4" width="35" customWidth="1"/>
    <col min="5" max="5" width="14" customWidth="1"/>
    <col min="6" max="6" width="40" customWidth="1"/>
  </cols>
  <sheetData>
    <row r="1" spans="1:6" ht="12" customHeight="1">
      <c r="A1" s="1" t="s">
        <v>283</v>
      </c>
      <c r="B1" s="1" t="s">
        <v>284</v>
      </c>
      <c r="C1" s="1" t="s">
        <v>285</v>
      </c>
      <c r="D1" s="1" t="s">
        <v>286</v>
      </c>
      <c r="E1" s="1" t="s">
        <v>102</v>
      </c>
      <c r="F1" s="1" t="s">
        <v>103</v>
      </c>
    </row>
    <row r="2" spans="1:6" ht="12" customHeight="1">
      <c r="A2" s="2" t="s">
        <v>287</v>
      </c>
      <c r="B2" s="2" t="s">
        <v>288</v>
      </c>
      <c r="C2" s="2" t="s">
        <v>251</v>
      </c>
      <c r="D2" s="2" t="s">
        <v>289</v>
      </c>
      <c r="E2" s="2" t="s">
        <v>253</v>
      </c>
      <c r="F2" s="2" t="s">
        <v>290</v>
      </c>
    </row>
    <row r="3" spans="1:6" ht="12" customHeight="1">
      <c r="A3" s="2" t="s">
        <v>291</v>
      </c>
      <c r="B3" s="2" t="s">
        <v>292</v>
      </c>
      <c r="C3" s="2" t="s">
        <v>262</v>
      </c>
      <c r="D3" s="2" t="s">
        <v>293</v>
      </c>
      <c r="E3" s="2" t="s">
        <v>253</v>
      </c>
      <c r="F3" s="2" t="s">
        <v>294</v>
      </c>
    </row>
    <row r="4" spans="1:6" ht="12" customHeight="1">
      <c r="A4" s="2" t="s">
        <v>295</v>
      </c>
      <c r="B4" s="2" t="s">
        <v>296</v>
      </c>
      <c r="C4" s="2" t="s">
        <v>297</v>
      </c>
      <c r="D4" s="2" t="s">
        <v>298</v>
      </c>
      <c r="E4" s="2" t="s">
        <v>253</v>
      </c>
      <c r="F4" s="2" t="s">
        <v>299</v>
      </c>
    </row>
  </sheetData>
  <dataValidations count="1">
    <dataValidation type="list" sqref="E2:E200" xr:uid="{00000000-0002-0000-0A00-000000000000}">
      <formula1>"Pass,Fail,Not run,Open,Closed,Retest,Blocked"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8"/>
  <sheetViews>
    <sheetView workbookViewId="0"/>
  </sheetViews>
  <sheetFormatPr defaultRowHeight="13.8"/>
  <cols>
    <col min="1" max="1" width="24" customWidth="1"/>
    <col min="2" max="2" width="70" customWidth="1"/>
  </cols>
  <sheetData>
    <row r="1" spans="1:2" ht="12" customHeight="1">
      <c r="A1" s="1" t="s">
        <v>300</v>
      </c>
      <c r="B1" s="1" t="s">
        <v>301</v>
      </c>
    </row>
    <row r="2" spans="1:2" ht="12" customHeight="1">
      <c r="A2" s="2" t="s">
        <v>302</v>
      </c>
      <c r="B2" s="2" t="s">
        <v>303</v>
      </c>
    </row>
    <row r="3" spans="1:2" ht="12" customHeight="1">
      <c r="A3" s="2" t="s">
        <v>304</v>
      </c>
      <c r="B3" s="2" t="s">
        <v>305</v>
      </c>
    </row>
    <row r="4" spans="1:2" ht="12" customHeight="1">
      <c r="A4" s="2" t="s">
        <v>306</v>
      </c>
      <c r="B4" s="2" t="s">
        <v>307</v>
      </c>
    </row>
    <row r="5" spans="1:2" ht="12" customHeight="1">
      <c r="A5" s="2" t="s">
        <v>308</v>
      </c>
      <c r="B5" s="2" t="s">
        <v>31</v>
      </c>
    </row>
    <row r="6" spans="1:2" ht="12" customHeight="1">
      <c r="A6" s="2" t="s">
        <v>309</v>
      </c>
      <c r="B6" s="2" t="s">
        <v>310</v>
      </c>
    </row>
    <row r="7" spans="1:2" ht="12" customHeight="1">
      <c r="A7" s="2" t="s">
        <v>311</v>
      </c>
      <c r="B7" s="2" t="s">
        <v>312</v>
      </c>
    </row>
    <row r="8" spans="1:2" ht="12" customHeight="1">
      <c r="A8" s="2" t="s">
        <v>313</v>
      </c>
      <c r="B8" s="2" t="s">
        <v>314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"/>
  <sheetViews>
    <sheetView workbookViewId="0"/>
  </sheetViews>
  <sheetFormatPr defaultRowHeight="13.8"/>
  <cols>
    <col min="1" max="1" width="10" customWidth="1"/>
    <col min="2" max="2" width="22" customWidth="1"/>
    <col min="3" max="3" width="14" customWidth="1"/>
    <col min="4" max="4" width="36" customWidth="1"/>
    <col min="5" max="5" width="42" customWidth="1"/>
    <col min="6" max="6" width="30" customWidth="1"/>
    <col min="7" max="7" width="14" customWidth="1"/>
    <col min="8" max="8" width="26" customWidth="1"/>
  </cols>
  <sheetData>
    <row r="1" spans="1:8" ht="12" customHeight="1">
      <c r="A1" s="1" t="s">
        <v>315</v>
      </c>
      <c r="B1" s="1" t="s">
        <v>316</v>
      </c>
      <c r="C1" s="1" t="s">
        <v>317</v>
      </c>
      <c r="D1" s="1" t="s">
        <v>318</v>
      </c>
      <c r="E1" s="1" t="s">
        <v>319</v>
      </c>
      <c r="F1" s="1" t="s">
        <v>320</v>
      </c>
      <c r="G1" s="1" t="s">
        <v>102</v>
      </c>
      <c r="H1" s="1" t="s">
        <v>103</v>
      </c>
    </row>
    <row r="2" spans="1:8" ht="12" customHeight="1">
      <c r="A2" s="2" t="s">
        <v>321</v>
      </c>
      <c r="B2" s="2"/>
      <c r="C2" s="2"/>
      <c r="D2" s="2" t="s">
        <v>322</v>
      </c>
      <c r="E2" s="2"/>
      <c r="F2" s="2"/>
      <c r="G2" s="2" t="s">
        <v>323</v>
      </c>
      <c r="H2" s="2"/>
    </row>
    <row r="3" spans="1:8" ht="12" customHeight="1">
      <c r="A3" s="2" t="s">
        <v>324</v>
      </c>
      <c r="B3" s="2"/>
      <c r="C3" s="2"/>
      <c r="D3" s="2" t="s">
        <v>325</v>
      </c>
      <c r="E3" s="2"/>
      <c r="F3" s="2"/>
      <c r="G3" s="2" t="s">
        <v>323</v>
      </c>
      <c r="H3" s="2"/>
    </row>
    <row r="4" spans="1:8" ht="12" customHeight="1">
      <c r="A4" s="2" t="s">
        <v>326</v>
      </c>
      <c r="B4" s="2"/>
      <c r="C4" s="2"/>
      <c r="D4" s="2" t="s">
        <v>327</v>
      </c>
      <c r="E4" s="2"/>
      <c r="F4" s="2"/>
      <c r="G4" s="2" t="s">
        <v>323</v>
      </c>
      <c r="H4" s="2"/>
    </row>
  </sheetData>
  <dataValidations count="1">
    <dataValidation type="list" sqref="G2:G200" xr:uid="{00000000-0002-0000-0C00-000000000000}">
      <formula1>"Pass,Fail,Not run,Open,Closed,Retest,Blocked"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"/>
  <sheetViews>
    <sheetView workbookViewId="0"/>
  </sheetViews>
  <sheetFormatPr defaultRowHeight="13.8"/>
  <cols>
    <col min="1" max="1" width="12" customWidth="1"/>
    <col min="2" max="2" width="20" customWidth="1"/>
    <col min="3" max="3" width="42" customWidth="1"/>
    <col min="4" max="4" width="14" customWidth="1"/>
    <col min="5" max="6" width="16" customWidth="1"/>
    <col min="7" max="7" width="14" customWidth="1"/>
    <col min="8" max="8" width="28" customWidth="1"/>
  </cols>
  <sheetData>
    <row r="1" spans="1:8" ht="12" customHeight="1">
      <c r="A1" s="1" t="s">
        <v>328</v>
      </c>
      <c r="B1" s="1" t="s">
        <v>329</v>
      </c>
      <c r="C1" s="1" t="s">
        <v>330</v>
      </c>
      <c r="D1" s="1" t="s">
        <v>331</v>
      </c>
      <c r="E1" s="1" t="s">
        <v>21</v>
      </c>
      <c r="F1" s="1" t="s">
        <v>332</v>
      </c>
      <c r="G1" s="1" t="s">
        <v>102</v>
      </c>
      <c r="H1" s="1" t="s">
        <v>333</v>
      </c>
    </row>
    <row r="2" spans="1:8" ht="12" customHeight="1">
      <c r="A2" s="2" t="s">
        <v>334</v>
      </c>
      <c r="B2" s="2"/>
      <c r="C2" s="2"/>
      <c r="D2" s="2"/>
      <c r="E2" s="2"/>
      <c r="F2" s="2"/>
      <c r="G2" s="2" t="s">
        <v>323</v>
      </c>
      <c r="H2" s="2"/>
    </row>
    <row r="3" spans="1:8" ht="12" customHeight="1">
      <c r="A3" s="2" t="s">
        <v>335</v>
      </c>
      <c r="B3" s="2"/>
      <c r="C3" s="2"/>
      <c r="D3" s="2"/>
      <c r="E3" s="2"/>
      <c r="F3" s="2"/>
      <c r="G3" s="2" t="s">
        <v>323</v>
      </c>
      <c r="H3" s="2"/>
    </row>
  </sheetData>
  <dataValidations count="1">
    <dataValidation type="list" sqref="G2:G200" xr:uid="{00000000-0002-0000-0D00-000000000000}">
      <formula1>"Pass,Fail,Not run,Open,Closed,Retest,Blocked"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Dashboard</vt:lpstr>
      <vt:lpstr>00_Doi_chieu_YC</vt:lpstr>
      <vt:lpstr>Traceability</vt:lpstr>
      <vt:lpstr>TestPlan_Checklist</vt:lpstr>
      <vt:lpstr>TestCase_Checklist</vt:lpstr>
      <vt:lpstr>GUI_Checklist</vt:lpstr>
      <vt:lpstr>Code_Checklist</vt:lpstr>
      <vt:lpstr>WebTest_Checklist</vt:lpstr>
      <vt:lpstr>TestExecution_Log</vt:lpstr>
      <vt:lpstr>SystemTest_Checklist</vt:lpstr>
      <vt:lpstr>Selenium_Summary</vt:lpstr>
      <vt:lpstr>JMeter_Summary</vt:lpstr>
      <vt:lpstr>CrossReview_Log</vt:lpstr>
      <vt:lpstr>Defect_Log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2026-06-25T06:09:19Z</dcterms:modified>
</cp:coreProperties>
</file>