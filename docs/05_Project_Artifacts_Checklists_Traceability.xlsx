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cc14efebd644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ecf077eb5bf4cb5"/>
    <x:sheet xmlns:r="http://schemas.openxmlformats.org/officeDocument/2006/relationships" name="00_Doi_chieu_YC" sheetId="2" r:id="R2a15762b619c4df9"/>
    <x:sheet xmlns:r="http://schemas.openxmlformats.org/officeDocument/2006/relationships" name="Traceability" sheetId="3" r:id="R8bbc28c302cc4830"/>
    <x:sheet xmlns:r="http://schemas.openxmlformats.org/officeDocument/2006/relationships" name="TestPlan_Checklist" sheetId="4" r:id="Rfabf54a291bf4540"/>
    <x:sheet xmlns:r="http://schemas.openxmlformats.org/officeDocument/2006/relationships" name="TestCase_Checklist" sheetId="5" r:id="R69292c9b7fbc4164"/>
    <x:sheet xmlns:r="http://schemas.openxmlformats.org/officeDocument/2006/relationships" name="GUI_Checklist" sheetId="6" r:id="Re5c60cc3c3184353"/>
    <x:sheet xmlns:r="http://schemas.openxmlformats.org/officeDocument/2006/relationships" name="Code_Checklist" sheetId="7" r:id="R698dbd1c640d4053"/>
    <x:sheet xmlns:r="http://schemas.openxmlformats.org/officeDocument/2006/relationships" name="WebTest_Checklist" sheetId="8" r:id="Rf95212c464904673"/>
    <x:sheet xmlns:r="http://schemas.openxmlformats.org/officeDocument/2006/relationships" name="SystemTest_Checklist" sheetId="9" r:id="Rc1a1ed9a738f4351"/>
    <x:sheet xmlns:r="http://schemas.openxmlformats.org/officeDocument/2006/relationships" name="TestExecution_Log" sheetId="10" r:id="R4ea52021ee6247f4"/>
    <x:sheet xmlns:r="http://schemas.openxmlformats.org/officeDocument/2006/relationships" name="Selenium_Summary" sheetId="11" r:id="R0c537707ac9f47b5"/>
    <x:sheet xmlns:r="http://schemas.openxmlformats.org/officeDocument/2006/relationships" name="JMeter_Summary" sheetId="12" r:id="Rb4411c84b2384896"/>
    <x:sheet xmlns:r="http://schemas.openxmlformats.org/officeDocument/2006/relationships" name="CrossReview_Log" sheetId="13" r:id="R90a61a5de6e84405"/>
    <x:sheet xmlns:r="http://schemas.openxmlformats.org/officeDocument/2006/relationships" name="Defect_Log" sheetId="14" r:id="Rb641565b51e848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1a0cbc973a4914" /><Relationship Type="http://schemas.openxmlformats.org/officeDocument/2006/relationships/theme" Target="/xl/theme/theme1.xml" Id="R15edc43e3b8346a5" /><Relationship Type="http://schemas.openxmlformats.org/officeDocument/2006/relationships/sharedStrings" Target="/xl/sharedStrings.xml" Id="Rda374b45cd1a47aa" /><Relationship Type="http://schemas.openxmlformats.org/officeDocument/2006/relationships/worksheet" Target="/xl/worksheets/sheet1.xml" Id="Rfecf077eb5bf4cb5" /><Relationship Type="http://schemas.openxmlformats.org/officeDocument/2006/relationships/worksheet" Target="/xl/worksheets/sheet2.xml" Id="R2a15762b619c4df9" /><Relationship Type="http://schemas.openxmlformats.org/officeDocument/2006/relationships/worksheet" Target="/xl/worksheets/sheet3.xml" Id="R8bbc28c302cc4830" /><Relationship Type="http://schemas.openxmlformats.org/officeDocument/2006/relationships/worksheet" Target="/xl/worksheets/sheet4.xml" Id="Rfabf54a291bf4540" /><Relationship Type="http://schemas.openxmlformats.org/officeDocument/2006/relationships/worksheet" Target="/xl/worksheets/sheet5.xml" Id="R69292c9b7fbc4164" /><Relationship Type="http://schemas.openxmlformats.org/officeDocument/2006/relationships/worksheet" Target="/xl/worksheets/sheet6.xml" Id="Re5c60cc3c3184353" /><Relationship Type="http://schemas.openxmlformats.org/officeDocument/2006/relationships/worksheet" Target="/xl/worksheets/sheet7.xml" Id="R698dbd1c640d4053" /><Relationship Type="http://schemas.openxmlformats.org/officeDocument/2006/relationships/worksheet" Target="/xl/worksheets/sheet8.xml" Id="Rf95212c464904673" /><Relationship Type="http://schemas.openxmlformats.org/officeDocument/2006/relationships/worksheet" Target="/xl/worksheets/sheet9.xml" Id="Rc1a1ed9a738f4351" /><Relationship Type="http://schemas.openxmlformats.org/officeDocument/2006/relationships/worksheet" Target="/xl/worksheets/sheet10.xml" Id="R4ea52021ee6247f4" /><Relationship Type="http://schemas.openxmlformats.org/officeDocument/2006/relationships/worksheet" Target="/xl/worksheets/sheet11.xml" Id="R0c537707ac9f47b5" /><Relationship Type="http://schemas.openxmlformats.org/officeDocument/2006/relationships/worksheet" Target="/xl/worksheets/sheet12.xml" Id="Rb4411c84b2384896" /><Relationship Type="http://schemas.openxmlformats.org/officeDocument/2006/relationships/worksheet" Target="/xl/worksheets/sheet13.xml" Id="R90a61a5de6e84405" /><Relationship Type="http://schemas.openxmlformats.org/officeDocument/2006/relationships/worksheet" Target="/xl/worksheets/sheet14.xml" Id="Rb641565b51e8488c" /></Relationships>
</file>

<file path=xl/tables/table1.xml><?xml version="1.0" encoding="utf-8"?>
<x:table xmlns:x="http://schemas.openxmlformats.org/spreadsheetml/2006/main" id="1" name="YCStatusTable" displayName="YCStatusTable" ref="A1:E10" headerRowCount="1">
  <x:tableColumns count="5">
    <x:tableColumn id="1" name="Mã"/>
    <x:tableColumn id="2" name="Yêu cầu"/>
    <x:tableColumn id="3" name="Tình trạng"/>
    <x:tableColumn id="4" name="Ghi chú"/>
    <x:tableColumn id="5" name="Artifact"/>
  </x:tableColumns>
  <x:tableStyleInfo name="TableStyleMedium2" showRowStripes="1"/>
</x:table>
</file>

<file path=xl/tables/table2.xml><?xml version="1.0" encoding="utf-8"?>
<x:table xmlns:x="http://schemas.openxmlformats.org/spreadsheetml/2006/main" id="2" name="TraceabilityTable" displayName="TraceabilityTable" ref="A1:E10" headerRowCount="1">
  <x:tableColumns count="5">
    <x:tableColumn id="1" name="Mã YC"/>
    <x:tableColumn id="2" name="Yêu cầu"/>
    <x:tableColumn id="3" name="Artifact"/>
    <x:tableColumn id="4" name="Ghi chú"/>
    <x:tableColumn id="5" name="Coverage status"/>
  </x:tableColumns>
  <x:tableStyleInfo name="TableStyleMedium2" showRowStripes="1"/>
</x:table>
</file>

<file path=xl/tables/table3.xml><?xml version="1.0" encoding="utf-8"?>
<x:table xmlns:x="http://schemas.openxmlformats.org/spreadsheetml/2006/main" id="3" name="TestPlanChecklistTable" displayName="TestPlanChecklistTable" ref="A1:F7" headerRowCount="1">
  <x:tableColumns count="6">
    <x:tableColumn id="1" name="ID"/>
    <x:tableColumn id="2" name="Checklist item"/>
    <x:tableColumn id="3" name="Tiêu chí đạt"/>
    <x:tableColumn id="4" name="Owner"/>
    <x:tableColumn id="5" name="Status"/>
    <x:tableColumn id="6" name="Evidence"/>
  </x:tableColumns>
  <x:tableStyleInfo name="TableStyleMedium2" showRowStripes="1"/>
</x:table>
</file>

<file path=xl/tables/table4.xml><?xml version="1.0" encoding="utf-8"?>
<x:table xmlns:x="http://schemas.openxmlformats.org/spreadsheetml/2006/main" id="4" name="TestCaseChecklistTable" displayName="TestCaseChecklistTable" ref="A1:F7" headerRowCount="1">
  <x:tableColumns count="6">
    <x:tableColumn id="1" name="ID"/>
    <x:tableColumn id="2" name="Checklist item"/>
    <x:tableColumn id="3" name="Tiêu chí đạt"/>
    <x:tableColumn id="4" name="Owner"/>
    <x:tableColumn id="5" name="Status"/>
    <x:tableColumn id="6" name="Evidence"/>
  </x:tableColumns>
  <x:tableStyleInfo name="TableStyleMedium2" showRowStripes="1"/>
</x:table>
</file>

<file path=xl/tables/table5.xml><?xml version="1.0" encoding="utf-8"?>
<x:table xmlns:x="http://schemas.openxmlformats.org/spreadsheetml/2006/main" id="5" name="GUIChecklistTable" displayName="GUIChecklistTable" ref="A1:F7" headerRowCount="1">
  <x:tableColumns count="6">
    <x:tableColumn id="1" name="ID"/>
    <x:tableColumn id="2" name="Checklist item"/>
    <x:tableColumn id="3" name="Tiêu chí đạt"/>
    <x:tableColumn id="4" name="Owner"/>
    <x:tableColumn id="5" name="Status"/>
    <x:tableColumn id="6" name="Evidence"/>
  </x:tableColumns>
  <x:tableStyleInfo name="TableStyleMedium2" showRowStripes="1"/>
</x:table>
</file>

<file path=xl/tables/table6.xml><?xml version="1.0" encoding="utf-8"?>
<x:table xmlns:x="http://schemas.openxmlformats.org/spreadsheetml/2006/main" id="6" name="CodeChecklistTable" displayName="CodeChecklistTable" ref="A1:F7" headerRowCount="1">
  <x:tableColumns count="6">
    <x:tableColumn id="1" name="ID"/>
    <x:tableColumn id="2" name="Checklist item"/>
    <x:tableColumn id="3" name="Tiêu chí đạt"/>
    <x:tableColumn id="4" name="Owner"/>
    <x:tableColumn id="5" name="Status"/>
    <x:tableColumn id="6" name="Evidence"/>
  </x:tableColumns>
  <x:tableStyleInfo name="TableStyleMedium2" showRowStripes="1"/>
</x:table>
</file>

<file path=xl/tables/table7.xml><?xml version="1.0" encoding="utf-8"?>
<x:table xmlns:x="http://schemas.openxmlformats.org/spreadsheetml/2006/main" id="7" name="WebTestChecklistTable" displayName="WebTestChecklistTable" ref="A1:F7" headerRowCount="1">
  <x:tableColumns count="6">
    <x:tableColumn id="1" name="ID"/>
    <x:tableColumn id="2" name="Checklist item"/>
    <x:tableColumn id="3" name="Tiêu chí đạt"/>
    <x:tableColumn id="4" name="Owner"/>
    <x:tableColumn id="5" name="Status"/>
    <x:tableColumn id="6" name="Evidence"/>
  </x:tableColumns>
  <x:tableStyleInfo name="TableStyleMedium2" showRowStripes="1"/>
</x:table>
</file>

<file path=xl/tables/table8.xml><?xml version="1.0" encoding="utf-8"?>
<x:table xmlns:x="http://schemas.openxmlformats.org/spreadsheetml/2006/main" id="8" name="SystemTestChecklistTable" displayName="SystemTestChecklistTable" ref="A1:F7" headerRowCount="1">
  <x:tableColumns count="6">
    <x:tableColumn id="1" name="ID"/>
    <x:tableColumn id="2" name="Checklist item"/>
    <x:tableColumn id="3" name="Tiêu chí đạt"/>
    <x:tableColumn id="4" name="Owner"/>
    <x:tableColumn id="5" name="Status"/>
    <x:tableColumn id="6" name="Evidence"/>
  </x:tableColumns>
  <x:tableStyleInfo name="TableStyleMedium2" showRowStripes="1"/>
</x:table>
</file>

<file path=xl/tables/table9.xml><?xml version="1.0" encoding="utf-8"?>
<x:table xmlns:x="http://schemas.openxmlformats.org/spreadsheetml/2006/main" id="9" name="TestExecutionTable" displayName="TestExecutionTable" ref="A1:H8" headerRowCount="1">
  <x:tableColumns count="8">
    <x:tableColumn id="1" name="TC ID"/>
    <x:tableColumn id="2" name="Tên test"/>
    <x:tableColumn id="3" name="YC"/>
    <x:tableColumn id="4" name="Test data/Command"/>
    <x:tableColumn id="5" name="Expected result"/>
    <x:tableColumn id="6" name="Actual result"/>
    <x:tableColumn id="7" name="Status"/>
    <x:tableColumn id="8" name="Evidence"/>
  </x:tableColumns>
  <x:tableStyleInfo name="TableStyleMedium2" showRowStripes="1"/>
</x:table>
</file>

<file path=xl/tables/table10.xml><?xml version="1.0" encoding="utf-8"?>
<x:table xmlns:x="http://schemas.openxmlformats.org/spreadsheetml/2006/main" id="10" name="SeleniumSummaryTable" displayName="SeleniumSummaryTable" ref="A1:F4" headerRowCount="1">
  <x:tableColumns count="6">
    <x:tableColumn id="1" name="Scenario"/>
    <x:tableColumn id="2" name="Tên"/>
    <x:tableColumn id="3" name="Input"/>
    <x:tableColumn id="4" name="Expected"/>
    <x:tableColumn id="5" name="Status"/>
    <x:tableColumn id="6" name="Evidence"/>
  </x:tableColumns>
  <x:tableStyleInfo name="TableStyleMedium2" showRowStripes="1"/>
</x:table>
</file>

<file path=xl/tables/table11.xml><?xml version="1.0" encoding="utf-8"?>
<x:table xmlns:x="http://schemas.openxmlformats.org/spreadsheetml/2006/main" id="11" name="JMeterSummaryTable" displayName="JMeterSummaryTable" ref="A1:B8" headerRowCount="1">
  <x:tableColumns count="2">
    <x:tableColumn id="1" name="Metric"/>
    <x:tableColumn id="2" name="Value/Target"/>
  </x:tableColumns>
  <x:tableStyleInfo name="TableStyleMedium2" showRowStripes="1"/>
</x:table>
</file>

<file path=xl/tables/table12.xml><?xml version="1.0" encoding="utf-8"?>
<x:table xmlns:x="http://schemas.openxmlformats.org/spreadsheetml/2006/main" id="12" name="CrossReviewTable" displayName="CrossReviewTable" ref="A1:H4" headerRowCount="1">
  <x:tableColumns count="8">
    <x:tableColumn id="1" name="Issue ID"/>
    <x:tableColumn id="2" name="Nhóm được review"/>
    <x:tableColumn id="3" name="Ngày"/>
    <x:tableColumn id="4" name="Phạm vi"/>
    <x:tableColumn id="5" name="Issue/nhận xét"/>
    <x:tableColumn id="6" name="Đề xuất"/>
    <x:tableColumn id="7" name="Status"/>
    <x:tableColumn id="8" name="Evidence"/>
  </x:tableColumns>
  <x:tableStyleInfo name="TableStyleMedium2" showRowStripes="1"/>
</x:table>
</file>

<file path=xl/tables/table13.xml><?xml version="1.0" encoding="utf-8"?>
<x:table xmlns:x="http://schemas.openxmlformats.org/spreadsheetml/2006/main" id="13" name="DefectLogTable" displayName="DefectLogTable" ref="A1:H3" headerRowCount="1">
  <x:tableColumns count="8">
    <x:tableColumn id="1" name="Defect ID"/>
    <x:tableColumn id="2" name="Nguồn phát hiện"/>
    <x:tableColumn id="3" name="Mô tả"/>
    <x:tableColumn id="4" name="Severity"/>
    <x:tableColumn id="5" name="Owner"/>
    <x:tableColumn id="6" name="Ngày phát hiện"/>
    <x:tableColumn id="7" name="Status"/>
    <x:tableColumn id="8" name="Retest/Eviden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a269c400c2845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31714e962243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5a6eb2a0004d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55343de86ea42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cffacfced1c4ae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cfe2af56dd426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58411868b1a400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65ff96fd824430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a9ef961e1e943b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ca944a508ba4bf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5eed7804f0344b4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3d644c5ce4248e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6156d67971da4f6b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8" hidden="0" customWidth="1"/>
    <x:col min="3" max="3" width="10" hidden="0" customWidth="1"/>
    <x:col min="4" max="4" width="18" hidden="0" customWidth="1"/>
    <x:col min="5" max="5" width="15" hidden="0" customWidth="1"/>
    <x:col min="6" max="6" width="25" hidden="0" customWidth="1"/>
  </x:cols>
  <x:sheetData>
    <x:row r="1">
      <x:c r="A1" s="4" t="str">
        <x:v>N01 G11 - Dashboard đối chiếu YC1-YC9</x:v>
      </x:c>
      <x:c r="B1" s="4" t="str">
        <x:v>N01 G11 - Dashboard đối chiếu YC1-YC9</x:v>
      </x:c>
      <x:c r="C1" s="4" t="str">
        <x:v>N01 G11 - Dashboard đối chiếu YC1-YC9</x:v>
      </x:c>
      <x:c r="D1" s="4" t="str">
        <x:v>N01 G11 - Dashboard đối chiếu YC1-YC9</x:v>
      </x:c>
      <x:c r="E1" s="4" t="str">
        <x:v>N01 G11 - Dashboard đối chiếu YC1-YC9</x:v>
      </x:c>
      <x:c r="F1" s="4" t="str">
        <x:v>N01 G11 - Dashboard đối chiếu YC1-YC9</x:v>
      </x:c>
    </x:row>
    <x:row r="3">
      <x:c r="A3" s="12" t="str">
        <x:v>Nhóm</x:v>
      </x:c>
      <x:c r="B3" s="12" t="str">
        <x:v>Số lượng</x:v>
      </x:c>
      <x:c r="C3" s="12" t="str">
        <x:v>Ghi chú</x:v>
      </x:c>
    </x:row>
    <x:row r="4">
      <x:c r="A4" s="19" t="str">
        <x:v>Đạt/đã bổ sung</x:v>
      </x:c>
      <x:c r="B4" s="19" t="n">
        <x:f>COUNTIF('00_Doi_chieu_YC'!C2:C10,"Đạt")+COUNTIF('00_Doi_chieu_YC'!C2:C10,"Đã bổ sung")</x:f>
        <x:v>5</x:v>
      </x:c>
      <x:c r="C4" s="19" t="str">
        <x:v>Có artifact trong gói</x:v>
      </x:c>
    </x:row>
    <x:row r="5">
      <x:c r="A5" s="19" t="str">
        <x:v>Một phần</x:v>
      </x:c>
      <x:c r="B5" s="19" t="n">
        <x:f>COUNTIF('00_Doi_chieu_YC'!C2:C10,"Một phần")</x:f>
        <x:v>3</x:v>
      </x:c>
      <x:c r="C5" s="19" t="str">
        <x:v>Cần minh chứng hoặc source thật</x:v>
      </x:c>
    </x:row>
    <x:row r="6">
      <x:c r="A6" s="19" t="str">
        <x:v>Cần thực hiện thật</x:v>
      </x:c>
      <x:c r="B6" s="19" t="n">
        <x:f>COUNTIF('00_Doi_chieu_YC'!C2:C10,"Cần thực hiện thật")</x:f>
        <x:v>1</x:v>
      </x:c>
      <x:c r="C6" s="19" t="str">
        <x:v>Đặc biệt YC9</x:v>
      </x:c>
    </x:row>
    <x:row r="7">
      <x:c r="A7" s="19" t="str">
        <x:v>Tổng YC</x:v>
      </x:c>
      <x:c r="B7" s="19" t="n">
        <x:f>COUNTA('00_Doi_chieu_YC'!A2:A10)</x:f>
        <x:v>9</x:v>
      </x:c>
      <x:c r="C7" s="19" t="str">
        <x:v>YC1-YC9</x:v>
      </x:c>
    </x:row>
    <x:row r="9">
      <x:c r="A9" s="26" t="str">
        <x:v>Việc cần làm trước khi nộp</x:v>
      </x:c>
      <x:c r="B9" s="26" t="str">
        <x:v>Việc cần làm trước khi nộp</x:v>
      </x:c>
      <x:c r="C9" s="26" t="str">
        <x:v>Việc cần làm trước khi nộp</x:v>
      </x:c>
      <x:c r="D9" s="26" t="str">
        <x:v>Việc cần làm trước khi nộp</x:v>
      </x:c>
      <x:c r="E9" s="26" t="str">
        <x:v>Việc cần làm trước khi nộp</x:v>
      </x:c>
      <x:c r="F9" s="26" t="str">
        <x:v>Việc cần làm trước khi nộp</x:v>
      </x:c>
    </x:row>
    <x:row r="10">
      <x:c r="A10" s="12" t="str">
        <x:v>No</x:v>
      </x:c>
      <x:c r="B10" s="12" t="str">
        <x:v>Task</x:v>
      </x:c>
      <x:c r="C10" s="12" t="str">
        <x:v>YC</x:v>
      </x:c>
      <x:c r="D10" s="12" t="str">
        <x:v>Người phụ trách</x:v>
      </x:c>
      <x:c r="E10" s="12" t="str">
        <x:v>Ngày hoàn tất</x:v>
      </x:c>
      <x:c r="F10" s="12" t="str">
        <x:v>Ghi chú</x:v>
      </x:c>
    </x:row>
    <x:row r="11">
      <x:c r="A11" s="19" t="str">
        <x:v>1</x:v>
      </x:c>
      <x:c r="B11" s="19" t="str">
        <x:v>Thay source mẫu bằng source thật nếu cần</x:v>
      </x:c>
      <x:c r="C11" s="19" t="str">
        <x:v>YC2</x:v>
      </x:c>
      <x:c r="D11" s="19" t="str">
        <x:v>Owner</x:v>
      </x:c>
      <x:c r="E11" s="19" t="str"/>
      <x:c r="F11" s="19" t="str"/>
    </x:row>
    <x:row r="12">
      <x:c r="A12" s="19" t="str">
        <x:v>2</x:v>
      </x:c>
      <x:c r="B12" s="19" t="str">
        <x:v>Chạy npm test và npm run coverage, lưu report</x:v>
      </x:c>
      <x:c r="C12" s="19" t="str">
        <x:v>YC6</x:v>
      </x:c>
      <x:c r="D12" s="19" t="str">
        <x:v>Owner</x:v>
      </x:c>
      <x:c r="E12" s="19" t="str"/>
      <x:c r="F12" s="19" t="str"/>
    </x:row>
    <x:row r="13">
      <x:c r="A13" s="19" t="str">
        <x:v>3</x:v>
      </x:c>
      <x:c r="B13" s="19" t="str">
        <x:v>Chạy Selenium và lưu screenshot/log</x:v>
      </x:c>
      <x:c r="C13" s="19" t="str">
        <x:v>YC7</x:v>
      </x:c>
      <x:c r="D13" s="19" t="str">
        <x:v>Owner</x:v>
      </x:c>
      <x:c r="E13" s="19" t="str"/>
      <x:c r="F13" s="19" t="str"/>
    </x:row>
    <x:row r="14">
      <x:c r="A14" s="19" t="str">
        <x:v>4</x:v>
      </x:c>
      <x:c r="B14" s="19" t="str">
        <x:v>Chạy JMeter và lưu .jtl/html report</x:v>
      </x:c>
      <x:c r="C14" s="19" t="str">
        <x:v>YC8</x:v>
      </x:c>
      <x:c r="D14" s="19" t="str">
        <x:v>Owner</x:v>
      </x:c>
      <x:c r="E14" s="19" t="str"/>
      <x:c r="F14" s="19" t="str"/>
    </x:row>
    <x:row r="15">
      <x:c r="A15" s="19" t="str">
        <x:v>5</x:v>
      </x:c>
      <x:c r="B15" s="19" t="str">
        <x:v>Review nhóm khác và điền biên bản/log</x:v>
      </x:c>
      <x:c r="C15" s="19" t="str">
        <x:v>YC9</x:v>
      </x:c>
      <x:c r="D15" s="19" t="str">
        <x:v>Owner</x:v>
      </x:c>
      <x:c r="E15" s="19" t="str"/>
      <x:c r="F15" s="19" t="str"/>
    </x:row>
  </x:sheetData>
  <x:mergeCells>
    <x:mergeCell ref="A1:F1"/>
    <x:mergeCell ref="A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2" hidden="0" customWidth="1"/>
    <x:col min="3" max="3" width="16" hidden="0" customWidth="1"/>
    <x:col min="4" max="4" width="48" hidden="0" customWidth="1"/>
    <x:col min="5" max="5" width="36" hidden="0" customWidth="1"/>
  </x:cols>
  <x:sheetData>
    <x:row r="1" ht="15" hidden="0" customHeight="1">
      <x:c r="A1" s="12" t="str">
        <x:v>Mã</x:v>
      </x:c>
      <x:c r="B1" s="12" t="str">
        <x:v>Yêu cầu</x:v>
      </x:c>
      <x:c r="C1" s="12" t="str">
        <x:v>Tình trạng</x:v>
      </x:c>
      <x:c r="D1" s="12" t="str">
        <x:v>Ghi chú</x:v>
      </x:c>
      <x:c r="E1" s="12" t="str">
        <x:v>Artifact</x:v>
      </x:c>
    </x:row>
    <x:row r="2" ht="15" hidden="0" customHeight="1">
      <x:c r="A2" s="19" t="str">
        <x:v>YC1</x:v>
      </x:c>
      <x:c r="B2" s="19" t="str">
        <x:v>Đặc tả yêu cầu (chức năng + phi chức năng)</x:v>
      </x:c>
      <x:c r="C2" s="19" t="str">
        <x:v>Đạt</x:v>
      </x:c>
      <x:c r="D2" s="19" t="str">
        <x:v>Chương 1 đầy đủ; đã tách rõ phần yêu cầu phi chức năng thành mục riêng và bổ sung tiêu chí nghiệm thu.</x:v>
      </x:c>
      <x:c r="E2" s="19" t="str">
        <x:v>01_SRS_Dac_ta_yeu_cau.docx</x:v>
      </x:c>
    </x:row>
    <x:row r="3" ht="15" hidden="0" customHeight="1">
      <x:c r="A3" s="19" t="str">
        <x:v>YC2</x:v>
      </x:c>
      <x:c r="B3" s="19" t="str">
        <x:v>Cài đặt</x:v>
      </x:c>
      <x:c r="C3" s="19" t="str">
        <x:v>Một phần</x:v>
      </x:c>
      <x:c r="D3" s="19" t="str">
        <x:v>Có source mẫu và báo cáo cài đặt; khi nộp cần thay bằng mã nguồn thật nếu source nhóm khác source mẫu.</x:v>
      </x:c>
      <x:c r="E3" s="19" t="str">
        <x:v>source/teacher-payroll-app; 06_Installation_Source_Code_Report.docx</x:v>
      </x:c>
    </x:row>
    <x:row r="4" ht="15" hidden="0" customHeight="1">
      <x:c r="A4" s="19" t="str">
        <x:v>YC3</x:v>
      </x:c>
      <x:c r="B4" s="19" t="str">
        <x:v>SQA &amp; Test Plan theo template [1]</x:v>
      </x:c>
      <x:c r="C4" s="19" t="str">
        <x:v>Một phần</x:v>
      </x:c>
      <x:c r="D4" s="19" t="str">
        <x:v>Đã bổ sung SQA Plan: chuẩn chất lượng, quy trình, cấu hình, metric, audit/review, defect management.</x:v>
      </x:c>
      <x:c r="E4" s="19" t="str">
        <x:v>02_SQA_Test_Plan.docx</x:v>
      </x:c>
    </x:row>
    <x:row r="5" ht="15" hidden="0" customHeight="1">
      <x:c r="A5" s="19" t="str">
        <x:v>YC4</x:v>
      </x:c>
      <x:c r="B5" s="19" t="str">
        <x:v>6 checklist: test plan, test case, GUI, code, Web test, system test</x:v>
      </x:c>
      <x:c r="C5" s="19" t="str">
        <x:v>Đã bổ sung</x:v>
      </x:c>
      <x:c r="D5" s="19" t="str">
        <x:v>Đã tạo đủ 6 checklist trong workbook này.</x:v>
      </x:c>
      <x:c r="E5" s="19" t="str">
        <x:v>Các sheet checklist</x:v>
      </x:c>
    </x:row>
    <x:row r="6" ht="15" hidden="0" customHeight="1">
      <x:c r="A6" s="19" t="str">
        <x:v>YC5</x:v>
      </x:c>
      <x:c r="B6" s="19" t="str">
        <x:v>Viết test case + thực hiện test theo template [1]</x:v>
      </x:c>
      <x:c r="C6" s="19" t="str">
        <x:v>Một phần</x:v>
      </x:c>
      <x:c r="D6" s="19" t="str">
        <x:v>Có 128 test case gốc; đã bổ sung log thực thi. Nhóm cần chạy thật, điền Actual Result/Status/Evidence.</x:v>
      </x:c>
      <x:c r="E6" s="19" t="str">
        <x:v>TestExecution_Log; 03_Test_Execution_and_Review_Report.docx</x:v>
      </x:c>
    </x:row>
    <x:row r="7" ht="15" hidden="0" customHeight="1">
      <x:c r="A7" s="19" t="str">
        <x:v>YC6</x:v>
      </x:c>
      <x:c r="B7" s="19" t="str">
        <x:v>Unit test + đánh giá độ phủ</x:v>
      </x:c>
      <x:c r="C7" s="19" t="str">
        <x:v>Đạt</x:v>
      </x:c>
      <x:c r="D7" s="19" t="str">
        <x:v>Có Jest unit test và cấu hình coverage cho logic tính tiền/validate. Cần chạy lại trên source thật.</x:v>
      </x:c>
      <x:c r="E7" s="19" t="str">
        <x:v>src/lib/__tests__/payroll.test.ts</x:v>
      </x:c>
    </x:row>
    <x:row r="8" ht="15" hidden="0" customHeight="1">
      <x:c r="A8" s="19" t="str">
        <x:v>YC7</x:v>
      </x:c>
      <x:c r="B8" s="19" t="str">
        <x:v>Test tự động bằng Selenium WebDriver</x:v>
      </x:c>
      <x:c r="C8" s="19" t="str">
        <x:v>Đã bổ sung</x:v>
      </x:c>
      <x:c r="D8" s="19" t="str">
        <x:v>Đã bổ sung script Selenium Python, README, test report mẫu và nơi lưu screenshot/log.</x:v>
      </x:c>
      <x:c r="E8" s="19" t="str">
        <x:v>tests/selenium; 07_Selenium_WebDriver_Test_Report.docx</x:v>
      </x:c>
    </x:row>
    <x:row r="9" ht="15" hidden="0" customHeight="1">
      <x:c r="A9" s="19" t="str">
        <x:v>YC8</x:v>
      </x:c>
      <x:c r="B9" s="19" t="str">
        <x:v>Test hiệu năng bằng JMeter</x:v>
      </x:c>
      <x:c r="C9" s="19" t="str">
        <x:v>Đã bổ sung</x:v>
      </x:c>
      <x:c r="D9" s="19" t="str">
        <x:v>Đã bổ sung file .jmx, README, test report mẫu và bảng kết quả. Thay Lighthouse bằng JMeter.</x:v>
      </x:c>
      <x:c r="E9" s="19" t="str">
        <x:v>tests/jmeter; 08_JMeter_Performance_Test_Report.docx</x:v>
      </x:c>
    </x:row>
    <x:row r="10" ht="15" hidden="0" customHeight="1">
      <x:c r="A10" s="19" t="str">
        <x:v>YC9</x:v>
      </x:c>
      <x:c r="B10" s="19" t="str">
        <x:v>Thực hiện test + review cho nhóm khác</x:v>
      </x:c>
      <x:c r="C10" s="19" t="str">
        <x:v>Cần thực hiện thật</x:v>
      </x:c>
      <x:c r="D10" s="19" t="str">
        <x:v>Đã bổ sung template biên bản, checklist và log review chéo. Nội dung review liên nhóm phải tự điền.</x:v>
      </x:c>
      <x:c r="E10" s="19" t="str">
        <x:v>04_Cross_Review_Template_YC9.docx; CrossReview_Log</x:v>
      </x:c>
    </x:row>
  </x:sheetData>
  <x:pageMargins left="0.7" right="0.7" top="0.75" bottom="0.75" header="0.3" footer="0.3"/>
  <x:tableParts count="1">
    <x:tablePart xmlns:r="http://schemas.openxmlformats.org/officeDocument/2006/relationships" r:id="Rba269c400c28452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42" hidden="0" customWidth="1"/>
    <x:col min="4" max="4" width="35" hidden="0" customWidth="1"/>
    <x:col min="5" max="5" width="16" hidden="0" customWidth="1"/>
  </x:cols>
  <x:sheetData>
    <x:row r="1" ht="15" hidden="0" customHeight="1">
      <x:c r="A1" s="12" t="str">
        <x:v>Mã YC</x:v>
      </x:c>
      <x:c r="B1" s="12" t="str">
        <x:v>Yêu cầu</x:v>
      </x:c>
      <x:c r="C1" s="12" t="str">
        <x:v>Artifact</x:v>
      </x:c>
      <x:c r="D1" s="12" t="str">
        <x:v>Ghi chú</x:v>
      </x:c>
      <x:c r="E1" s="12" t="str">
        <x:v>Coverage status</x:v>
      </x:c>
    </x:row>
    <x:row r="2" ht="15" hidden="0" customHeight="1">
      <x:c r="A2" s="19" t="str">
        <x:v>YC1</x:v>
      </x:c>
      <x:c r="B2" s="19" t="str">
        <x:v>SRS chức năng + phi chức năng</x:v>
      </x:c>
      <x:c r="C2" s="19" t="str">
        <x:v>01_SRS_Dac_ta_yeu_cau.docx</x:v>
      </x:c>
      <x:c r="D2" s="19" t="str">
        <x:v>NFR tách riêng</x:v>
      </x:c>
      <x:c r="E2" s="19" t="str">
        <x:v>Covered</x:v>
      </x:c>
    </x:row>
    <x:row r="3" ht="15" hidden="0" customHeight="1">
      <x:c r="A3" s="19" t="str">
        <x:v>YC2</x:v>
      </x:c>
      <x:c r="B3" s="19" t="str">
        <x:v>Cài đặt/source</x:v>
      </x:c>
      <x:c r="C3" s="19" t="str">
        <x:v>source/teacher-payroll-app; 06_Installation_Source_Code_Report.docx</x:v>
      </x:c>
      <x:c r="D3" s="19" t="str">
        <x:v>Cần source thật nếu khác</x:v>
      </x:c>
      <x:c r="E3" s="19" t="str">
        <x:v>Partial</x:v>
      </x:c>
    </x:row>
    <x:row r="4" ht="15" hidden="0" customHeight="1">
      <x:c r="A4" s="19" t="str">
        <x:v>YC3</x:v>
      </x:c>
      <x:c r="B4" s="19" t="str">
        <x:v>SQA &amp; Test Plan</x:v>
      </x:c>
      <x:c r="C4" s="19" t="str">
        <x:v>02_SQA_Test_Plan.docx</x:v>
      </x:c>
      <x:c r="D4" s="19" t="str">
        <x:v>Đã bổ sung SQA Plan</x:v>
      </x:c>
      <x:c r="E4" s="19" t="str">
        <x:v>Partial</x:v>
      </x:c>
    </x:row>
    <x:row r="5" ht="15" hidden="0" customHeight="1">
      <x:c r="A5" s="19" t="str">
        <x:v>YC4</x:v>
      </x:c>
      <x:c r="B5" s="19" t="str">
        <x:v>6 checklist</x:v>
      </x:c>
      <x:c r="C5" s="19" t="str">
        <x:v>6 sheet checklist trong workbook</x:v>
      </x:c>
      <x:c r="D5" s="19" t="str">
        <x:v>Test plan/test case/GUI/code/Web/System</x:v>
      </x:c>
      <x:c r="E5" s="19" t="str">
        <x:v>Covered</x:v>
      </x:c>
    </x:row>
    <x:row r="6" ht="15" hidden="0" customHeight="1">
      <x:c r="A6" s="19" t="str">
        <x:v>YC5</x:v>
      </x:c>
      <x:c r="B6" s="19" t="str">
        <x:v>Test case + execution</x:v>
      </x:c>
      <x:c r="C6" s="19" t="str">
        <x:v>N01_G11_Testcase_Full.xlsx; TestExecution_Log</x:v>
      </x:c>
      <x:c r="D6" s="19" t="str">
        <x:v>Cần chạy thật</x:v>
      </x:c>
      <x:c r="E6" s="19" t="str">
        <x:v>Partial</x:v>
      </x:c>
    </x:row>
    <x:row r="7" ht="15" hidden="0" customHeight="1">
      <x:c r="A7" s="19" t="str">
        <x:v>YC6</x:v>
      </x:c>
      <x:c r="B7" s="19" t="str">
        <x:v>Unit test + coverage</x:v>
      </x:c>
      <x:c r="C7" s="19" t="str">
        <x:v>Jest tests + package script</x:v>
      </x:c>
      <x:c r="D7" s="19" t="str">
        <x:v>Cần lưu coverage evidence</x:v>
      </x:c>
      <x:c r="E7" s="19" t="str">
        <x:v>Covered</x:v>
      </x:c>
    </x:row>
    <x:row r="8" ht="15" hidden="0" customHeight="1">
      <x:c r="A8" s="19" t="str">
        <x:v>YC7</x:v>
      </x:c>
      <x:c r="B8" s="19" t="str">
        <x:v>Selenium WebDriver</x:v>
      </x:c>
      <x:c r="C8" s="19" t="str">
        <x:v>tests/selenium</x:v>
      </x:c>
      <x:c r="D8" s="19" t="str">
        <x:v>Cần screenshot/log sau khi chạy</x:v>
      </x:c>
      <x:c r="E8" s="19" t="str">
        <x:v>Covered</x:v>
      </x:c>
    </x:row>
    <x:row r="9" ht="15" hidden="0" customHeight="1">
      <x:c r="A9" s="19" t="str">
        <x:v>YC8</x:v>
      </x:c>
      <x:c r="B9" s="19" t="str">
        <x:v>JMeter</x:v>
      </x:c>
      <x:c r="C9" s="19" t="str">
        <x:v>tests/jmeter/teacher_payroll_load_test.jmx</x:v>
      </x:c>
      <x:c r="D9" s="19" t="str">
        <x:v>Cần .jtl/html report</x:v>
      </x:c>
      <x:c r="E9" s="19" t="str">
        <x:v>Covered</x:v>
      </x:c>
    </x:row>
    <x:row r="10" ht="15" hidden="0" customHeight="1">
      <x:c r="A10" s="19" t="str">
        <x:v>YC9</x:v>
      </x:c>
      <x:c r="B10" s="19" t="str">
        <x:v>Review nhóm khác</x:v>
      </x:c>
      <x:c r="C10" s="19" t="str">
        <x:v>04_Cross_Review_Template_YC9.docx; CrossReview_Log</x:v>
      </x:c>
      <x:c r="D10" s="19" t="str">
        <x:v>Cần thực hiện liên nhóm</x:v>
      </x:c>
      <x:c r="E10" s="19" t="str">
        <x:v>Pending</x:v>
      </x:c>
    </x:row>
  </x:sheetData>
  <x:pageMargins left="0.7" right="0.7" top="0.75" bottom="0.75" header="0.3" footer="0.3"/>
  <x:tableParts count="1">
    <x:tablePart xmlns:r="http://schemas.openxmlformats.org/officeDocument/2006/relationships" r:id="Rce31714e9622433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8" hidden="0" customWidth="1"/>
    <x:col min="4" max="4" width="14" hidden="0" customWidth="1"/>
    <x:col min="5" max="5" width="16" hidden="0" customWidth="1"/>
    <x:col min="6" max="6" width="28" hidden="0" customWidth="1"/>
  </x:cols>
  <x:sheetData>
    <x:row r="1" ht="15" hidden="0" customHeight="1">
      <x:c r="A1" s="12" t="str">
        <x:v>ID</x:v>
      </x:c>
      <x:c r="B1" s="12" t="str">
        <x:v>Checklist item</x:v>
      </x:c>
      <x:c r="C1" s="12" t="str">
        <x:v>Tiêu chí đạt</x:v>
      </x:c>
      <x:c r="D1" s="12" t="str">
        <x:v>Owner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TP-01</x:v>
      </x:c>
      <x:c r="B2" s="19" t="str">
        <x:v>Test plan có mục tiêu/phạm vi</x:v>
      </x:c>
      <x:c r="C2" s="19" t="str">
        <x:v>Có mục tiêu, phạm vi, đối tượng test</x:v>
      </x:c>
      <x:c r="D2" s="19" t="str">
        <x:v>Test Lead</x:v>
      </x:c>
      <x:c r="E2" s="19" t="str">
        <x:v>Done</x:v>
      </x:c>
      <x:c r="F2" s="19" t="str">
        <x:v>02_SQA_Test_Plan.docx</x:v>
      </x:c>
    </x:row>
    <x:row r="3" ht="15" hidden="0" customHeight="1">
      <x:c r="A3" s="19" t="str">
        <x:v>TP-02</x:v>
      </x:c>
      <x:c r="B3" s="19" t="str">
        <x:v>Entry/Exit criteria</x:v>
      </x:c>
      <x:c r="C3" s="19" t="str">
        <x:v>Có điều kiện bắt đầu/kết thúc/tạm dừng/tiếp tục</x:v>
      </x:c>
      <x:c r="D3" s="19" t="str">
        <x:v>Test Lead</x:v>
      </x:c>
      <x:c r="E3" s="19" t="str">
        <x:v>Done</x:v>
      </x:c>
      <x:c r="F3" s="19" t="str">
        <x:v>02_SQA_Test_Plan.docx</x:v>
      </x:c>
    </x:row>
    <x:row r="4" ht="15" hidden="0" customHeight="1">
      <x:c r="A4" s="19" t="str">
        <x:v>TP-03</x:v>
      </x:c>
      <x:c r="B4" s="19" t="str">
        <x:v>Môi trường kiểm thử</x:v>
      </x:c>
      <x:c r="C4" s="19" t="str">
        <x:v>Có OS, runtime, browser, Selenium, JMeter, data</x:v>
      </x:c>
      <x:c r="D4" s="19" t="str">
        <x:v>Tester</x:v>
      </x:c>
      <x:c r="E4" s="19" t="str">
        <x:v>Done</x:v>
      </x:c>
      <x:c r="F4" s="19" t="str">
        <x:v>02_SQA_Test_Plan.docx</x:v>
      </x:c>
    </x:row>
    <x:row r="5" ht="15" hidden="0" customHeight="1">
      <x:c r="A5" s="19" t="str">
        <x:v>TP-04</x:v>
      </x:c>
      <x:c r="B5" s="19" t="str">
        <x:v>Vai trò và trách nhiệm</x:v>
      </x:c>
      <x:c r="C5" s="19" t="str">
        <x:v>Có Test Lead/Dev/Tester/Reviewer</x:v>
      </x:c>
      <x:c r="D5" s="19" t="str">
        <x:v>Test Lead</x:v>
      </x:c>
      <x:c r="E5" s="19" t="str">
        <x:v>Done</x:v>
      </x:c>
      <x:c r="F5" s="19" t="str">
        <x:v>02_SQA_Test_Plan.docx</x:v>
      </x:c>
    </x:row>
    <x:row r="6" ht="15" hidden="0" customHeight="1">
      <x:c r="A6" s="19" t="str">
        <x:v>TP-05</x:v>
      </x:c>
      <x:c r="B6" s="19" t="str">
        <x:v>Rủi ro và giảm thiểu</x:v>
      </x:c>
      <x:c r="C6" s="19" t="str">
        <x:v>Có rủi ro source/template/tool/evidence</x:v>
      </x:c>
      <x:c r="D6" s="19" t="str">
        <x:v>Test Lead</x:v>
      </x:c>
      <x:c r="E6" s="19" t="str">
        <x:v>Done</x:v>
      </x:c>
      <x:c r="F6" s="19" t="str">
        <x:v>02_SQA_Test_Plan.docx</x:v>
      </x:c>
    </x:row>
    <x:row r="7" ht="15" hidden="0" customHeight="1">
      <x:c r="A7" s="19" t="str">
        <x:v>TP-06</x:v>
      </x:c>
      <x:c r="B7" s="19" t="str">
        <x:v>Metric chất lượng</x:v>
      </x:c>
      <x:c r="C7" s="19" t="str">
        <x:v>Có coverage/pass rate/defect closure/error rate</x:v>
      </x:c>
      <x:c r="D7" s="19" t="str">
        <x:v>SQA</x:v>
      </x:c>
      <x:c r="E7" s="19" t="str">
        <x:v>Done</x:v>
      </x:c>
      <x:c r="F7" s="19" t="str">
        <x:v>02_SQA_Test_Plan.docx</x:v>
      </x:c>
    </x:row>
  </x:sheetData>
  <x:dataValidations count="1">
    <x:dataValidation type="list" sqref="E2:E200">
      <x:formula1>"Done,Ready,Need check,Need run,Pending execution,Blocked,N/A"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5a6eb2a0004df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8" hidden="0" customWidth="1"/>
    <x:col min="4" max="4" width="14" hidden="0" customWidth="1"/>
    <x:col min="5" max="5" width="16" hidden="0" customWidth="1"/>
    <x:col min="6" max="6" width="28" hidden="0" customWidth="1"/>
  </x:cols>
  <x:sheetData>
    <x:row r="1" ht="15" hidden="0" customHeight="1">
      <x:c r="A1" s="12" t="str">
        <x:v>ID</x:v>
      </x:c>
      <x:c r="B1" s="12" t="str">
        <x:v>Checklist item</x:v>
      </x:c>
      <x:c r="C1" s="12" t="str">
        <x:v>Tiêu chí đạt</x:v>
      </x:c>
      <x:c r="D1" s="12" t="str">
        <x:v>Owner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TC-01</x:v>
      </x:c>
      <x:c r="B2" s="19" t="str">
        <x:v>Mã test case</x:v>
      </x:c>
      <x:c r="C2" s="19" t="str">
        <x:v>Mỗi test case có ID duy nhất</x:v>
      </x:c>
      <x:c r="D2" s="19" t="str">
        <x:v>Tester</x:v>
      </x:c>
      <x:c r="E2" s="19" t="str">
        <x:v>Ready</x:v>
      </x:c>
      <x:c r="F2" s="19" t="str">
        <x:v>N01_G11_Testcase_Full.xlsx</x:v>
      </x:c>
    </x:row>
    <x:row r="3" ht="15" hidden="0" customHeight="1">
      <x:c r="A3" s="19" t="str">
        <x:v>TC-02</x:v>
      </x:c>
      <x:c r="B3" s="19" t="str">
        <x:v>Precondition</x:v>
      </x:c>
      <x:c r="C3" s="19" t="str">
        <x:v>Có điều kiện đầu vào/dữ liệu test</x:v>
      </x:c>
      <x:c r="D3" s="19" t="str">
        <x:v>Tester</x:v>
      </x:c>
      <x:c r="E3" s="19" t="str">
        <x:v>Need check</x:v>
      </x:c>
      <x:c r="F3" s="19" t="str">
        <x:v>Workbook gốc</x:v>
      </x:c>
    </x:row>
    <x:row r="4" ht="15" hidden="0" customHeight="1">
      <x:c r="A4" s="19" t="str">
        <x:v>TC-03</x:v>
      </x:c>
      <x:c r="B4" s="19" t="str">
        <x:v>Steps rõ ràng</x:v>
      </x:c>
      <x:c r="C4" s="19" t="str">
        <x:v>Người khác có thể chạy lại</x:v>
      </x:c>
      <x:c r="D4" s="19" t="str">
        <x:v>Tester</x:v>
      </x:c>
      <x:c r="E4" s="19" t="str">
        <x:v>Need check</x:v>
      </x:c>
      <x:c r="F4" s="19" t="str">
        <x:v>Workbook gốc</x:v>
      </x:c>
    </x:row>
    <x:row r="5" ht="15" hidden="0" customHeight="1">
      <x:c r="A5" s="19" t="str">
        <x:v>TC-04</x:v>
      </x:c>
      <x:c r="B5" s="19" t="str">
        <x:v>Expected result đo được</x:v>
      </x:c>
      <x:c r="C5" s="19" t="str">
        <x:v>Không viết kỳ vọng mơ hồ</x:v>
      </x:c>
      <x:c r="D5" s="19" t="str">
        <x:v>Reviewer</x:v>
      </x:c>
      <x:c r="E5" s="19" t="str">
        <x:v>Need check</x:v>
      </x:c>
      <x:c r="F5" s="19" t="str">
        <x:v>Workbook gốc</x:v>
      </x:c>
    </x:row>
    <x:row r="6" ht="15" hidden="0" customHeight="1">
      <x:c r="A6" s="19" t="str">
        <x:v>TC-05</x:v>
      </x:c>
      <x:c r="B6" s="19" t="str">
        <x:v>Actual result/status/evidence</x:v>
      </x:c>
      <x:c r="C6" s="19" t="str">
        <x:v>Có cột thực thi và minh chứng</x:v>
      </x:c>
      <x:c r="D6" s="19" t="str">
        <x:v>Tester</x:v>
      </x:c>
      <x:c r="E6" s="19" t="str">
        <x:v>Pending execution</x:v>
      </x:c>
      <x:c r="F6" s="19" t="str">
        <x:v>TestExecution_Log</x:v>
      </x:c>
    </x:row>
    <x:row r="7" ht="15" hidden="0" customHeight="1">
      <x:c r="A7" s="19" t="str">
        <x:v>TC-06</x:v>
      </x:c>
      <x:c r="B7" s="19" t="str">
        <x:v>Traceability</x:v>
      </x:c>
      <x:c r="C7" s="19" t="str">
        <x:v>Mỗi TC map về FR/YC</x:v>
      </x:c>
      <x:c r="D7" s="19" t="str">
        <x:v>Test Lead</x:v>
      </x:c>
      <x:c r="E7" s="19" t="str">
        <x:v>Ready</x:v>
      </x:c>
      <x:c r="F7" s="19" t="str">
        <x:v>Traceability</x:v>
      </x:c>
    </x:row>
  </x:sheetData>
  <x:dataValidations count="1">
    <x:dataValidation type="list" sqref="E2:E200">
      <x:formula1>"Done,Ready,Need check,Need run,Pending execution,Blocked,N/A"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5343de86ea423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8" hidden="0" customWidth="1"/>
    <x:col min="4" max="4" width="14" hidden="0" customWidth="1"/>
    <x:col min="5" max="5" width="16" hidden="0" customWidth="1"/>
    <x:col min="6" max="6" width="28" hidden="0" customWidth="1"/>
  </x:cols>
  <x:sheetData>
    <x:row r="1" ht="15" hidden="0" customHeight="1">
      <x:c r="A1" s="12" t="str">
        <x:v>ID</x:v>
      </x:c>
      <x:c r="B1" s="12" t="str">
        <x:v>Checklist item</x:v>
      </x:c>
      <x:c r="C1" s="12" t="str">
        <x:v>Tiêu chí đạt</x:v>
      </x:c>
      <x:c r="D1" s="12" t="str">
        <x:v>Owner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GUI-01</x:v>
      </x:c>
      <x:c r="B2" s="19" t="str">
        <x:v>Nhãn trường nhập</x:v>
      </x:c>
      <x:c r="C2" s="19" t="str">
        <x:v>Tất cả input có label rõ</x:v>
      </x:c>
      <x:c r="D2" s="19" t="str">
        <x:v>Tester</x:v>
      </x:c>
      <x:c r="E2" s="19" t="str">
        <x:v>Ready</x:v>
      </x:c>
      <x:c r="F2" s="19" t="str">
        <x:v>page.tsx</x:v>
      </x:c>
    </x:row>
    <x:row r="3" ht="15" hidden="0" customHeight="1">
      <x:c r="A3" s="19" t="str">
        <x:v>GUI-02</x:v>
      </x:c>
      <x:c r="B3" s="19" t="str">
        <x:v>Giá trị mặc định</x:v>
      </x:c>
      <x:c r="C3" s="19" t="str">
        <x:v>Form có dữ liệu mẫu hợp lệ</x:v>
      </x:c>
      <x:c r="D3" s="19" t="str">
        <x:v>Tester</x:v>
      </x:c>
      <x:c r="E3" s="19" t="str">
        <x:v>Ready</x:v>
      </x:c>
      <x:c r="F3" s="19" t="str">
        <x:v>page.tsx</x:v>
      </x:c>
    </x:row>
    <x:row r="4" ht="15" hidden="0" customHeight="1">
      <x:c r="A4" s="19" t="str">
        <x:v>GUI-03</x:v>
      </x:c>
      <x:c r="B4" s="19" t="str">
        <x:v>Thông báo kết quả</x:v>
      </x:c>
      <x:c r="C4" s="19" t="str">
        <x:v>Kết quả hiển thị tiết quy đổi và thành tiền</x:v>
      </x:c>
      <x:c r="D4" s="19" t="str">
        <x:v>Tester</x:v>
      </x:c>
      <x:c r="E4" s="19" t="str">
        <x:v>Ready</x:v>
      </x:c>
      <x:c r="F4" s="19" t="str">
        <x:v>Selenium SEL-01</x:v>
      </x:c>
    </x:row>
    <x:row r="5" ht="15" hidden="0" customHeight="1">
      <x:c r="A5" s="19" t="str">
        <x:v>GUI-04</x:v>
      </x:c>
      <x:c r="B5" s="19" t="str">
        <x:v>Thông báo lỗi</x:v>
      </x:c>
      <x:c r="C5" s="19" t="str">
        <x:v>Lỗi nghiệp vụ hiển thị dễ hiểu</x:v>
      </x:c>
      <x:c r="D5" s="19" t="str">
        <x:v>Tester</x:v>
      </x:c>
      <x:c r="E5" s="19" t="str">
        <x:v>Ready</x:v>
      </x:c>
      <x:c r="F5" s="19" t="str">
        <x:v>Selenium SEL-02</x:v>
      </x:c>
    </x:row>
    <x:row r="6" ht="15" hidden="0" customHeight="1">
      <x:c r="A6" s="19" t="str">
        <x:v>GUI-05</x:v>
      </x:c>
      <x:c r="B6" s="19" t="str">
        <x:v>Responsive cơ bản</x:v>
      </x:c>
      <x:c r="C6" s="19" t="str">
        <x:v>Không vỡ layout desktop phổ biến</x:v>
      </x:c>
      <x:c r="D6" s="19" t="str">
        <x:v>Tester</x:v>
      </x:c>
      <x:c r="E6" s="19" t="str">
        <x:v>Need run</x:v>
      </x:c>
      <x:c r="F6" s="19" t="str">
        <x:v>Screenshot</x:v>
      </x:c>
    </x:row>
    <x:row r="7" ht="15" hidden="0" customHeight="1">
      <x:c r="A7" s="19" t="str">
        <x:v>GUI-06</x:v>
      </x:c>
      <x:c r="B7" s="19" t="str">
        <x:v>Trạng thái loading</x:v>
      </x:c>
      <x:c r="C7" s="19" t="str">
        <x:v>Button thể hiện đang tính</x:v>
      </x:c>
      <x:c r="D7" s="19" t="str">
        <x:v>Tester</x:v>
      </x:c>
      <x:c r="E7" s="19" t="str">
        <x:v>Ready</x:v>
      </x:c>
      <x:c r="F7" s="19" t="str">
        <x:v>page.tsx</x:v>
      </x:c>
    </x:row>
  </x:sheetData>
  <x:dataValidations count="1">
    <x:dataValidation type="list" sqref="E2:E200">
      <x:formula1>"Done,Ready,Need check,Need run,Pending execution,Blocked,N/A"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ffacfced1c4ae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8" hidden="0" customWidth="1"/>
    <x:col min="4" max="4" width="14" hidden="0" customWidth="1"/>
    <x:col min="5" max="5" width="16" hidden="0" customWidth="1"/>
    <x:col min="6" max="6" width="28" hidden="0" customWidth="1"/>
  </x:cols>
  <x:sheetData>
    <x:row r="1" ht="15" hidden="0" customHeight="1">
      <x:c r="A1" s="12" t="str">
        <x:v>ID</x:v>
      </x:c>
      <x:c r="B1" s="12" t="str">
        <x:v>Checklist item</x:v>
      </x:c>
      <x:c r="C1" s="12" t="str">
        <x:v>Tiêu chí đạt</x:v>
      </x:c>
      <x:c r="D1" s="12" t="str">
        <x:v>Owner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CODE-01</x:v>
      </x:c>
      <x:c r="B2" s="19" t="str">
        <x:v>Tách logic nghiệp vụ</x:v>
      </x:c>
      <x:c r="C2" s="19" t="str">
        <x:v>payroll.ts tách khỏi UI/API</x:v>
      </x:c>
      <x:c r="D2" s="19" t="str">
        <x:v>Reviewer</x:v>
      </x:c>
      <x:c r="E2" s="19" t="str">
        <x:v>Done</x:v>
      </x:c>
      <x:c r="F2" s="19" t="str">
        <x:v>payroll.ts</x:v>
      </x:c>
    </x:row>
    <x:row r="3" ht="15" hidden="0" customHeight="1">
      <x:c r="A3" s="19" t="str">
        <x:v>CODE-02</x:v>
      </x:c>
      <x:c r="B3" s="19" t="str">
        <x:v>Validate input</x:v>
      </x:c>
      <x:c r="C3" s="19" t="str">
        <x:v>Email/phone/age/coefficient/công thức có validate</x:v>
      </x:c>
      <x:c r="D3" s="19" t="str">
        <x:v>Reviewer</x:v>
      </x:c>
      <x:c r="E3" s="19" t="str">
        <x:v>Done</x:v>
      </x:c>
      <x:c r="F3" s="19" t="str">
        <x:v>payroll.ts</x:v>
      </x:c>
    </x:row>
    <x:row r="4" ht="15" hidden="0" customHeight="1">
      <x:c r="A4" s="19" t="str">
        <x:v>CODE-03</x:v>
      </x:c>
      <x:c r="B4" s="19" t="str">
        <x:v>TypeScript strict</x:v>
      </x:c>
      <x:c r="C4" s="19" t="str">
        <x:v>tsconfig strict=true</x:v>
      </x:c>
      <x:c r="D4" s="19" t="str">
        <x:v>Reviewer</x:v>
      </x:c>
      <x:c r="E4" s="19" t="str">
        <x:v>Done</x:v>
      </x:c>
      <x:c r="F4" s="19" t="str">
        <x:v>tsconfig.json</x:v>
      </x:c>
    </x:row>
    <x:row r="5" ht="15" hidden="0" customHeight="1">
      <x:c r="A5" s="19" t="str">
        <x:v>CODE-04</x:v>
      </x:c>
      <x:c r="B5" s="19" t="str">
        <x:v>Unit test</x:v>
      </x:c>
      <x:c r="C5" s="19" t="str">
        <x:v>Logic chính được Jest cover</x:v>
      </x:c>
      <x:c r="D5" s="19" t="str">
        <x:v>Reviewer</x:v>
      </x:c>
      <x:c r="E5" s="19" t="str">
        <x:v>Done</x:v>
      </x:c>
      <x:c r="F5" s="19" t="str">
        <x:v>payroll.test.ts</x:v>
      </x:c>
    </x:row>
    <x:row r="6" ht="15" hidden="0" customHeight="1">
      <x:c r="A6" s="19" t="str">
        <x:v>CODE-05</x:v>
      </x:c>
      <x:c r="B6" s="19" t="str">
        <x:v>Không lộ lỗi kỹ thuật</x:v>
      </x:c>
      <x:c r="C6" s="19" t="str">
        <x:v>API trả message nghiệp vụ</x:v>
      </x:c>
      <x:c r="D6" s="19" t="str">
        <x:v>Reviewer</x:v>
      </x:c>
      <x:c r="E6" s="19" t="str">
        <x:v>Ready</x:v>
      </x:c>
      <x:c r="F6" s="19" t="str">
        <x:v>route.ts</x:v>
      </x:c>
    </x:row>
    <x:row r="7" ht="15" hidden="0" customHeight="1">
      <x:c r="A7" s="19" t="str">
        <x:v>CODE-06</x:v>
      </x:c>
      <x:c r="B7" s="19" t="str">
        <x:v>Cấu trúc source nộp kèm</x:v>
      </x:c>
      <x:c r="C7" s="19" t="str">
        <x:v>Có README và hướng dẫn chạy</x:v>
      </x:c>
      <x:c r="D7" s="19" t="str">
        <x:v>Reviewer</x:v>
      </x:c>
      <x:c r="E7" s="19" t="str">
        <x:v>Done</x:v>
      </x:c>
      <x:c r="F7" s="19" t="str">
        <x:v>source README</x:v>
      </x:c>
    </x:row>
  </x:sheetData>
  <x:dataValidations count="1">
    <x:dataValidation type="list" sqref="E2:E200">
      <x:formula1>"Done,Ready,Need check,Need run,Pending execution,Blocked,N/A"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fe2af56dd426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8" hidden="0" customWidth="1"/>
    <x:col min="4" max="4" width="14" hidden="0" customWidth="1"/>
    <x:col min="5" max="5" width="16" hidden="0" customWidth="1"/>
    <x:col min="6" max="6" width="28" hidden="0" customWidth="1"/>
  </x:cols>
  <x:sheetData>
    <x:row r="1" ht="15" hidden="0" customHeight="1">
      <x:c r="A1" s="12" t="str">
        <x:v>ID</x:v>
      </x:c>
      <x:c r="B1" s="12" t="str">
        <x:v>Checklist item</x:v>
      </x:c>
      <x:c r="C1" s="12" t="str">
        <x:v>Tiêu chí đạt</x:v>
      </x:c>
      <x:c r="D1" s="12" t="str">
        <x:v>Owner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WEB-01</x:v>
      </x:c>
      <x:c r="B2" s="19" t="str">
        <x:v>Load trang chủ</x:v>
      </x:c>
      <x:c r="C2" s="19" t="str">
        <x:v>HTTP 200 và render form</x:v>
      </x:c>
      <x:c r="D2" s="19" t="str">
        <x:v>Tester</x:v>
      </x:c>
      <x:c r="E2" s="19" t="str">
        <x:v>Need run</x:v>
      </x:c>
      <x:c r="F2" s="19" t="str">
        <x:v>Selenium</x:v>
      </x:c>
    </x:row>
    <x:row r="3" ht="15" hidden="0" customHeight="1">
      <x:c r="A3" s="19" t="str">
        <x:v>WEB-02</x:v>
      </x:c>
      <x:c r="B3" s="19" t="str">
        <x:v>Submit form hợp lệ</x:v>
      </x:c>
      <x:c r="C3" s="19" t="str">
        <x:v>POST /api/payroll trả amount đúng</x:v>
      </x:c>
      <x:c r="D3" s="19" t="str">
        <x:v>Tester</x:v>
      </x:c>
      <x:c r="E3" s="19" t="str">
        <x:v>Need run</x:v>
      </x:c>
      <x:c r="F3" s="19" t="str">
        <x:v>Selenium/JMeter</x:v>
      </x:c>
    </x:row>
    <x:row r="4" ht="15" hidden="0" customHeight="1">
      <x:c r="A4" s="19" t="str">
        <x:v>WEB-03</x:v>
      </x:c>
      <x:c r="B4" s="19" t="str">
        <x:v>Submit form lỗi</x:v>
      </x:c>
      <x:c r="C4" s="19" t="str">
        <x:v>Hiển thị lỗi nghiệp vụ</x:v>
      </x:c>
      <x:c r="D4" s="19" t="str">
        <x:v>Tester</x:v>
      </x:c>
      <x:c r="E4" s="19" t="str">
        <x:v>Need run</x:v>
      </x:c>
      <x:c r="F4" s="19" t="str">
        <x:v>Selenium</x:v>
      </x:c>
    </x:row>
    <x:row r="5" ht="15" hidden="0" customHeight="1">
      <x:c r="A5" s="19" t="str">
        <x:v>WEB-04</x:v>
      </x:c>
      <x:c r="B5" s="19" t="str">
        <x:v>API teachers</x:v>
      </x:c>
      <x:c r="C5" s="19" t="str">
        <x:v>GET /api/teachers trả danh sách</x:v>
      </x:c>
      <x:c r="D5" s="19" t="str">
        <x:v>Tester</x:v>
      </x:c>
      <x:c r="E5" s="19" t="str">
        <x:v>Need run</x:v>
      </x:c>
      <x:c r="F5" s="19" t="str">
        <x:v>Manual/API</x:v>
      </x:c>
    </x:row>
    <x:row r="6" ht="15" hidden="0" customHeight="1">
      <x:c r="A6" s="19" t="str">
        <x:v>WEB-05</x:v>
      </x:c>
      <x:c r="B6" s="19" t="str">
        <x:v>Cross-browser</x:v>
      </x:c>
      <x:c r="C6" s="19" t="str">
        <x:v>Chrome/Edge/Firefox cơ bản</x:v>
      </x:c>
      <x:c r="D6" s="19" t="str">
        <x:v>Tester</x:v>
      </x:c>
      <x:c r="E6" s="19" t="str">
        <x:v>Need run</x:v>
      </x:c>
      <x:c r="F6" s="19" t="str">
        <x:v>Web test evidence</x:v>
      </x:c>
    </x:row>
    <x:row r="7" ht="15" hidden="0" customHeight="1">
      <x:c r="A7" s="19" t="str">
        <x:v>WEB-06</x:v>
      </x:c>
      <x:c r="B7" s="19" t="str">
        <x:v>Không lỗi console nghiêm trọng</x:v>
      </x:c>
      <x:c r="C7" s="19" t="str">
        <x:v>Không lỗi JS critical khi dùng luồng chính</x:v>
      </x:c>
      <x:c r="D7" s="19" t="str">
        <x:v>Tester</x:v>
      </x:c>
      <x:c r="E7" s="19" t="str">
        <x:v>Need run</x:v>
      </x:c>
      <x:c r="F7" s="19" t="str">
        <x:v>Browser console</x:v>
      </x:c>
    </x:row>
  </x:sheetData>
  <x:dataValidations count="1">
    <x:dataValidation type="list" sqref="E2:E200">
      <x:formula1>"Done,Ready,Need check,Need run,Pending execution,Blocked,N/A"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8411868b1a400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8" hidden="0" customWidth="1"/>
    <x:col min="4" max="4" width="14" hidden="0" customWidth="1"/>
    <x:col min="5" max="5" width="16" hidden="0" customWidth="1"/>
    <x:col min="6" max="6" width="28" hidden="0" customWidth="1"/>
  </x:cols>
  <x:sheetData>
    <x:row r="1" ht="15" hidden="0" customHeight="1">
      <x:c r="A1" s="12" t="str">
        <x:v>ID</x:v>
      </x:c>
      <x:c r="B1" s="12" t="str">
        <x:v>Checklist item</x:v>
      </x:c>
      <x:c r="C1" s="12" t="str">
        <x:v>Tiêu chí đạt</x:v>
      </x:c>
      <x:c r="D1" s="12" t="str">
        <x:v>Owner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SYS-01</x:v>
      </x:c>
      <x:c r="B2" s="19" t="str">
        <x:v>Cài đặt dependency</x:v>
      </x:c>
      <x:c r="C2" s="19" t="str">
        <x:v>npm install không lỗi blocking</x:v>
      </x:c>
      <x:c r="D2" s="19" t="str">
        <x:v>Tester</x:v>
      </x:c>
      <x:c r="E2" s="19" t="str">
        <x:v>Need run</x:v>
      </x:c>
      <x:c r="F2" s="19" t="str">
        <x:v>Install log</x:v>
      </x:c>
    </x:row>
    <x:row r="3" ht="15" hidden="0" customHeight="1">
      <x:c r="A3" s="19" t="str">
        <x:v>SYS-02</x:v>
      </x:c>
      <x:c r="B3" s="19" t="str">
        <x:v>Run dev server</x:v>
      </x:c>
      <x:c r="C3" s="19" t="str">
        <x:v>npm run dev chạy ứng dụng</x:v>
      </x:c>
      <x:c r="D3" s="19" t="str">
        <x:v>Tester</x:v>
      </x:c>
      <x:c r="E3" s="19" t="str">
        <x:v>Need run</x:v>
      </x:c>
      <x:c r="F3" s="19" t="str">
        <x:v>Terminal log</x:v>
      </x:c>
    </x:row>
    <x:row r="4" ht="15" hidden="0" customHeight="1">
      <x:c r="A4" s="19" t="str">
        <x:v>SYS-03</x:v>
      </x:c>
      <x:c r="B4" s="19" t="str">
        <x:v>Luồng tính tiền end-to-end</x:v>
      </x:c>
      <x:c r="C4" s="19" t="str">
        <x:v>UI -&gt; API -&gt; kết quả đúng</x:v>
      </x:c>
      <x:c r="D4" s="19" t="str">
        <x:v>Tester</x:v>
      </x:c>
      <x:c r="E4" s="19" t="str">
        <x:v>Need run</x:v>
      </x:c>
      <x:c r="F4" s="19" t="str">
        <x:v>Selenium</x:v>
      </x:c>
    </x:row>
    <x:row r="5" ht="15" hidden="0" customHeight="1">
      <x:c r="A5" s="19" t="str">
        <x:v>SYS-04</x:v>
      </x:c>
      <x:c r="B5" s="19" t="str">
        <x:v>Regression unit test</x:v>
      </x:c>
      <x:c r="C5" s="19" t="str">
        <x:v>npm test pass</x:v>
      </x:c>
      <x:c r="D5" s="19" t="str">
        <x:v>Tester</x:v>
      </x:c>
      <x:c r="E5" s="19" t="str">
        <x:v>Need run</x:v>
      </x:c>
      <x:c r="F5" s="19" t="str">
        <x:v>Jest log</x:v>
      </x:c>
    </x:row>
    <x:row r="6" ht="15" hidden="0" customHeight="1">
      <x:c r="A6" s="19" t="str">
        <x:v>SYS-05</x:v>
      </x:c>
      <x:c r="B6" s="19" t="str">
        <x:v>Performance smoke</x:v>
      </x:c>
      <x:c r="C6" s="19" t="str">
        <x:v>JMeter basic pass</x:v>
      </x:c>
      <x:c r="D6" s="19" t="str">
        <x:v>Tester</x:v>
      </x:c>
      <x:c r="E6" s="19" t="str">
        <x:v>Need run</x:v>
      </x:c>
      <x:c r="F6" s="19" t="str">
        <x:v>JMeter report</x:v>
      </x:c>
    </x:row>
    <x:row r="7" ht="15" hidden="0" customHeight="1">
      <x:c r="A7" s="19" t="str">
        <x:v>SYS-06</x:v>
      </x:c>
      <x:c r="B7" s="19" t="str">
        <x:v>Đóng gói nộp bài</x:v>
      </x:c>
      <x:c r="C7" s="19" t="str">
        <x:v>Source/docs/tests/evidence đầy đủ</x:v>
      </x:c>
      <x:c r="D7" s="19" t="str">
        <x:v>Test Lead</x:v>
      </x:c>
      <x:c r="E7" s="19" t="str">
        <x:v>Ready</x:v>
      </x:c>
      <x:c r="F7" s="19" t="str">
        <x:v>README</x:v>
      </x:c>
    </x:row>
  </x:sheetData>
  <x:dataValidations count="1">
    <x:dataValidation type="list" sqref="E2:E200">
      <x:formula1>"Done,Ready,Need check,Need run,Pending execution,Blocked,N/A"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5ff96fd824430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14" hidden="0" customWidth="1"/>
    <x:col min="8" max="8" width="30" hidden="0" customWidth="1"/>
  </x:cols>
  <x:sheetData>
    <x:row r="1" ht="15" hidden="0" customHeight="1">
      <x:c r="A1" s="12" t="str">
        <x:v>TC ID</x:v>
      </x:c>
      <x:c r="B1" s="12" t="str">
        <x:v>Tên test</x:v>
      </x:c>
      <x:c r="C1" s="12" t="str">
        <x:v>YC</x:v>
      </x:c>
      <x:c r="D1" s="12" t="str">
        <x:v>Test data/Command</x:v>
      </x:c>
      <x:c r="E1" s="12" t="str">
        <x:v>Expected result</x:v>
      </x:c>
      <x:c r="F1" s="12" t="str">
        <x:v>Actual result</x:v>
      </x:c>
      <x:c r="G1" s="12" t="str">
        <x:v>Status</x:v>
      </x:c>
      <x:c r="H1" s="12" t="str">
        <x:v>Evidence</x:v>
      </x:c>
    </x:row>
    <x:row r="2" ht="15" hidden="0" customHeight="1">
      <x:c r="A2" s="19" t="str">
        <x:v>TC-001</x:v>
      </x:c>
      <x:c r="B2" s="19" t="str">
        <x:v>Tính tiền lớp hợp lệ CALC001</x:v>
      </x:c>
      <x:c r="C2" s="19" t="str">
        <x:v>YC5/YC6/YC7</x:v>
      </x:c>
      <x:c r="D2" s="19" t="str">
        <x:v>45, 1, -0.1, 143000, 2</x:v>
      </x:c>
      <x:c r="E2" s="19" t="str">
        <x:v>11583000</x:v>
      </x:c>
      <x:c r="F2" s="19" t="str"/>
      <x:c r="G2" s="19" t="str">
        <x:v>Not run</x:v>
      </x:c>
      <x:c r="H2" s="19" t="str"/>
    </x:row>
    <x:row r="3" ht="15" hidden="0" customHeight="1">
      <x:c r="A3" s="19" t="str">
        <x:v>TC-002</x:v>
      </x:c>
      <x:c r="B3" s="19" t="str">
        <x:v>Tính tiền lớp hợp lệ CALC002</x:v>
      </x:c>
      <x:c r="C3" s="19" t="str">
        <x:v>YC5/YC6</x:v>
      </x:c>
      <x:c r="D3" s="19" t="str">
        <x:v>60, 1.2, -0.1, 143000, 2</x:v>
      </x:c>
      <x:c r="E3" s="19" t="str">
        <x:v>18876000</x:v>
      </x:c>
      <x:c r="F3" s="19" t="str"/>
      <x:c r="G3" s="19" t="str">
        <x:v>Not run</x:v>
      </x:c>
      <x:c r="H3" s="19" t="str"/>
    </x:row>
    <x:row r="4" ht="15" hidden="0" customHeight="1">
      <x:c r="A4" s="19" t="str">
        <x:v>TC-003</x:v>
      </x:c>
      <x:c r="B4" s="19" t="str">
        <x:v>Validate hệ số không hợp lệ</x:v>
      </x:c>
      <x:c r="C4" s="19" t="str">
        <x:v>YC5/YC7</x:v>
      </x:c>
      <x:c r="D4" s="19" t="str">
        <x:v>classCoef=-1.5</x:v>
      </x:c>
      <x:c r="E4" s="19" t="str">
        <x:v>Thông báo lỗi nghiệp vụ</x:v>
      </x:c>
      <x:c r="F4" s="19" t="str"/>
      <x:c r="G4" s="19" t="str">
        <x:v>Not run</x:v>
      </x:c>
      <x:c r="H4" s="19" t="str"/>
    </x:row>
    <x:row r="5" ht="15" hidden="0" customHeight="1">
      <x:c r="A5" s="19" t="str">
        <x:v>TC-004</x:v>
      </x:c>
      <x:c r="B5" s="19" t="str">
        <x:v>GET bảng lương GV0001</x:v>
      </x:c>
      <x:c r="C5" s="19" t="str">
        <x:v>YC5</x:v>
      </x:c>
      <x:c r="D5" s="19" t="str">
        <x:v>teacherId=GV0001, term=2025-2026-1</x:v>
      </x:c>
      <x:c r="E5" s="19" t="str">
        <x:v>total=30459000</x:v>
      </x:c>
      <x:c r="F5" s="19" t="str"/>
      <x:c r="G5" s="19" t="str">
        <x:v>Not run</x:v>
      </x:c>
      <x:c r="H5" s="19" t="str"/>
    </x:row>
    <x:row r="6" ht="15" hidden="0" customHeight="1">
      <x:c r="A6" s="19" t="str">
        <x:v>TC-005</x:v>
      </x:c>
      <x:c r="B6" s="19" t="str">
        <x:v>Jest regression</x:v>
      </x:c>
      <x:c r="C6" s="19" t="str">
        <x:v>YC6</x:v>
      </x:c>
      <x:c r="D6" s="19" t="str">
        <x:v>npm test</x:v>
      </x:c>
      <x:c r="E6" s="19" t="str">
        <x:v>All tests pass</x:v>
      </x:c>
      <x:c r="F6" s="19" t="str"/>
      <x:c r="G6" s="19" t="str">
        <x:v>Not run</x:v>
      </x:c>
      <x:c r="H6" s="19" t="str">
        <x:v>evidence/coverage</x:v>
      </x:c>
    </x:row>
    <x:row r="7" ht="15" hidden="0" customHeight="1">
      <x:c r="A7" s="19" t="str">
        <x:v>TC-006</x:v>
      </x:c>
      <x:c r="B7" s="19" t="str">
        <x:v>Selenium E2E</x:v>
      </x:c>
      <x:c r="C7" s="19" t="str">
        <x:v>YC7</x:v>
      </x:c>
      <x:c r="D7" s="19" t="str">
        <x:v>python selenium script</x:v>
      </x:c>
      <x:c r="E7" s="19" t="str">
        <x:v>SEL-01..SEL-03 pass</x:v>
      </x:c>
      <x:c r="F7" s="19" t="str"/>
      <x:c r="G7" s="19" t="str">
        <x:v>Not run</x:v>
      </x:c>
      <x:c r="H7" s="19" t="str">
        <x:v>evidence/screenshots</x:v>
      </x:c>
    </x:row>
    <x:row r="8" ht="15" hidden="0" customHeight="1">
      <x:c r="A8" s="19" t="str">
        <x:v>TC-007</x:v>
      </x:c>
      <x:c r="B8" s="19" t="str">
        <x:v>JMeter performance</x:v>
      </x:c>
      <x:c r="C8" s="19" t="str">
        <x:v>YC8</x:v>
      </x:c>
      <x:c r="D8" s="19" t="str">
        <x:v>50 users, ramp 30, loop 5</x:v>
      </x:c>
      <x:c r="E8" s="19" t="str">
        <x:v>Error &lt;=1%, P95 &lt;=2000ms</x:v>
      </x:c>
      <x:c r="F8" s="19" t="str"/>
      <x:c r="G8" s="19" t="str">
        <x:v>Not run</x:v>
      </x:c>
      <x:c r="H8" s="19" t="str">
        <x:v>evidence/jmeter-results</x:v>
      </x:c>
    </x:row>
  </x:sheetData>
  <x:dataValidations count="1">
    <x:dataValidation type="list" sqref="G2:G200">
      <x:formula1>"Pass,Fail,Not run,Open,Closed,Retest,Blocked"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9ef961e1e943bd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30" hidden="0" customWidth="1"/>
    <x:col min="4" max="4" width="35" hidden="0" customWidth="1"/>
    <x:col min="5" max="5" width="14" hidden="0" customWidth="1"/>
    <x:col min="6" max="6" width="40" hidden="0" customWidth="1"/>
  </x:cols>
  <x:sheetData>
    <x:row r="1" ht="15" hidden="0" customHeight="1">
      <x:c r="A1" s="12" t="str">
        <x:v>Scenario</x:v>
      </x:c>
      <x:c r="B1" s="12" t="str">
        <x:v>Tên</x:v>
      </x:c>
      <x:c r="C1" s="12" t="str">
        <x:v>Input</x:v>
      </x:c>
      <x:c r="D1" s="12" t="str">
        <x:v>Expected</x:v>
      </x:c>
      <x:c r="E1" s="12" t="str">
        <x:v>Status</x:v>
      </x:c>
      <x:c r="F1" s="12" t="str">
        <x:v>Evidence</x:v>
      </x:c>
    </x:row>
    <x:row r="2" ht="15" hidden="0" customHeight="1">
      <x:c r="A2" s="19" t="str">
        <x:v>SEL-01</x:v>
      </x:c>
      <x:c r="B2" s="19" t="str">
        <x:v>Valid payroll calculation</x:v>
      </x:c>
      <x:c r="C2" s="19" t="str">
        <x:v>45, 1, -0.1, 143000, 2</x:v>
      </x:c>
      <x:c r="D2" s="19" t="str">
        <x:v>Tiết quy đổi 40.5; 11.583.000 VND</x:v>
      </x:c>
      <x:c r="E2" s="19" t="str">
        <x:v>Not run</x:v>
      </x:c>
      <x:c r="F2" s="19" t="str">
        <x:v>evidence/screenshots/SEL-01-valid-payroll.png</x:v>
      </x:c>
    </x:row>
    <x:row r="3" ht="15" hidden="0" customHeight="1">
      <x:c r="A3" s="19" t="str">
        <x:v>SEL-02</x:v>
      </x:c>
      <x:c r="B3" s="19" t="str">
        <x:v>Invalid coefficient validation</x:v>
      </x:c>
      <x:c r="C3" s="19" t="str">
        <x:v>classCoef=-1.5</x:v>
      </x:c>
      <x:c r="D3" s="19" t="str">
        <x:v>Thông báo lỗi tổng hệ số &lt;= 0</x:v>
      </x:c>
      <x:c r="E3" s="19" t="str">
        <x:v>Not run</x:v>
      </x:c>
      <x:c r="F3" s="19" t="str">
        <x:v>evidence/screenshots/SEL-02-invalid-coefficient.png</x:v>
      </x:c>
    </x:row>
    <x:row r="4" ht="15" hidden="0" customHeight="1">
      <x:c r="A4" s="19" t="str">
        <x:v>SEL-03</x:v>
      </x:c>
      <x:c r="B4" s="19" t="str">
        <x:v>Recover after error</x:v>
      </x:c>
      <x:c r="C4" s="19" t="str">
        <x:v>Run invalid then valid data</x:v>
      </x:c>
      <x:c r="D4" s="19" t="str">
        <x:v>Kết quả mới đúng, không giữ lỗi cũ</x:v>
      </x:c>
      <x:c r="E4" s="19" t="str">
        <x:v>Not run</x:v>
      </x:c>
      <x:c r="F4" s="19" t="str">
        <x:v>evidence/screenshots/SEL-03-recover-after-error.png</x:v>
      </x:c>
    </x:row>
  </x:sheetData>
  <x:dataValidations count="1">
    <x:dataValidation type="list" sqref="E2:E200">
      <x:formula1>"Pass,Fail,Not run,Open,Closed,Retest,Blocked"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a944a508ba4bfa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</x:cols>
  <x:sheetData>
    <x:row r="1" ht="15" hidden="0" customHeight="1">
      <x:c r="A1" s="12" t="str">
        <x:v>Metric</x:v>
      </x:c>
      <x:c r="B1" s="12" t="str">
        <x:v>Value/Target</x:v>
      </x:c>
    </x:row>
    <x:row r="2" ht="15" hidden="0" customHeight="1">
      <x:c r="A2" s="19" t="str">
        <x:v>Endpoint</x:v>
      </x:c>
      <x:c r="B2" s="19" t="str">
        <x:v>POST /api/payroll</x:v>
      </x:c>
    </x:row>
    <x:row r="3" ht="15" hidden="0" customHeight="1">
      <x:c r="A3" s="19" t="str">
        <x:v>Virtual users</x:v>
      </x:c>
      <x:c r="B3" s="19" t="str">
        <x:v>50</x:v>
      </x:c>
    </x:row>
    <x:row r="4" ht="15" hidden="0" customHeight="1">
      <x:c r="A4" s="19" t="str">
        <x:v>Ramp-up</x:v>
      </x:c>
      <x:c r="B4" s="19" t="str">
        <x:v>30 seconds</x:v>
      </x:c>
    </x:row>
    <x:row r="5" ht="15" hidden="0" customHeight="1">
      <x:c r="A5" s="19" t="str">
        <x:v>Loop count</x:v>
      </x:c>
      <x:c r="B5" s="19" t="str">
        <x:v>5</x:v>
      </x:c>
    </x:row>
    <x:row r="6" ht="15" hidden="0" customHeight="1">
      <x:c r="A6" s="19" t="str">
        <x:v>Assertion</x:v>
      </x:c>
      <x:c r="B6" s="19" t="str">
        <x:v>Response contains 11583000 and response time &lt;= 2000 ms</x:v>
      </x:c>
    </x:row>
    <x:row r="7" ht="15" hidden="0" customHeight="1">
      <x:c r="A7" s="19" t="str">
        <x:v>Result file</x:v>
      </x:c>
      <x:c r="B7" s="19" t="str">
        <x:v>evidence/jmeter-results/teacher-payroll-results.jtl</x:v>
      </x:c>
    </x:row>
    <x:row r="8" ht="15" hidden="0" customHeight="1">
      <x:c r="A8" s="19" t="str">
        <x:v>HTML report</x:v>
      </x:c>
      <x:c r="B8" s="19" t="str">
        <x:v>evidence/jmeter-results/html-report/index.html</x:v>
      </x:c>
    </x:row>
  </x:sheetData>
  <x:pageMargins left="0.7" right="0.7" top="0.75" bottom="0.75" header="0.3" footer="0.3"/>
  <x:tableParts count="1">
    <x:tablePart xmlns:r="http://schemas.openxmlformats.org/officeDocument/2006/relationships" r:id="R5eed7804f0344b4d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14" hidden="0" customWidth="1"/>
    <x:col min="4" max="4" width="36" hidden="0" customWidth="1"/>
    <x:col min="5" max="5" width="42" hidden="0" customWidth="1"/>
    <x:col min="6" max="6" width="30" hidden="0" customWidth="1"/>
    <x:col min="7" max="7" width="14" hidden="0" customWidth="1"/>
    <x:col min="8" max="8" width="26" hidden="0" customWidth="1"/>
  </x:cols>
  <x:sheetData>
    <x:row r="1" ht="15" hidden="0" customHeight="1">
      <x:c r="A1" s="12" t="str">
        <x:v>Issue ID</x:v>
      </x:c>
      <x:c r="B1" s="12" t="str">
        <x:v>Nhóm được review</x:v>
      </x:c>
      <x:c r="C1" s="12" t="str">
        <x:v>Ngày</x:v>
      </x:c>
      <x:c r="D1" s="12" t="str">
        <x:v>Phạm vi</x:v>
      </x:c>
      <x:c r="E1" s="12" t="str">
        <x:v>Issue/nhận xét</x:v>
      </x:c>
      <x:c r="F1" s="12" t="str">
        <x:v>Đề xuất</x:v>
      </x:c>
      <x:c r="G1" s="12" t="str">
        <x:v>Status</x:v>
      </x:c>
      <x:c r="H1" s="12" t="str">
        <x:v>Evidence</x:v>
      </x:c>
    </x:row>
    <x:row r="2" ht="15" hidden="0" customHeight="1">
      <x:c r="A2" s="19" t="str">
        <x:v>CR-01</x:v>
      </x:c>
      <x:c r="B2" s="19" t="str"/>
      <x:c r="C2" s="19" t="str"/>
      <x:c r="D2" s="19" t="str">
        <x:v>Review SRS/Test Plan/Test Case/GUI/Code/Web/System</x:v>
      </x:c>
      <x:c r="E2" s="19" t="str"/>
      <x:c r="F2" s="19" t="str"/>
      <x:c r="G2" s="19" t="str">
        <x:v>Open</x:v>
      </x:c>
      <x:c r="H2" s="19" t="str"/>
    </x:row>
    <x:row r="3" ht="15" hidden="0" customHeight="1">
      <x:c r="A3" s="19" t="str">
        <x:v>CR-02</x:v>
      </x:c>
      <x:c r="B3" s="19" t="str"/>
      <x:c r="C3" s="19" t="str"/>
      <x:c r="D3" s="19" t="str">
        <x:v>Ghi issue cụ thể sau khi review nhóm khác</x:v>
      </x:c>
      <x:c r="E3" s="19" t="str"/>
      <x:c r="F3" s="19" t="str"/>
      <x:c r="G3" s="19" t="str">
        <x:v>Open</x:v>
      </x:c>
      <x:c r="H3" s="19" t="str"/>
    </x:row>
    <x:row r="4" ht="15" hidden="0" customHeight="1">
      <x:c r="A4" s="19" t="str">
        <x:v>CR-03</x:v>
      </x:c>
      <x:c r="B4" s="19" t="str"/>
      <x:c r="C4" s="19" t="str"/>
      <x:c r="D4" s="19" t="str">
        <x:v>Follow-up phản hồi của nhóm được review</x:v>
      </x:c>
      <x:c r="E4" s="19" t="str"/>
      <x:c r="F4" s="19" t="str"/>
      <x:c r="G4" s="19" t="str">
        <x:v>Open</x:v>
      </x:c>
      <x:c r="H4" s="19" t="str"/>
    </x:row>
  </x:sheetData>
  <x:dataValidations count="1">
    <x:dataValidation type="list" sqref="G2:G200">
      <x:formula1>"Pass,Fail,Not run,Open,Closed,Retest,Blocked"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d644c5ce4248ea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42" hidden="0" customWidth="1"/>
    <x:col min="4" max="4" width="14" hidden="0" customWidth="1"/>
    <x:col min="5" max="5" width="16" hidden="0" customWidth="1"/>
    <x:col min="6" max="6" width="16" hidden="0" customWidth="1"/>
    <x:col min="7" max="7" width="14" hidden="0" customWidth="1"/>
    <x:col min="8" max="8" width="28" hidden="0" customWidth="1"/>
  </x:cols>
  <x:sheetData>
    <x:row r="1" ht="15" hidden="0" customHeight="1">
      <x:c r="A1" s="12" t="str">
        <x:v>Defect ID</x:v>
      </x:c>
      <x:c r="B1" s="12" t="str">
        <x:v>Nguồn phát hiện</x:v>
      </x:c>
      <x:c r="C1" s="12" t="str">
        <x:v>Mô tả</x:v>
      </x:c>
      <x:c r="D1" s="12" t="str">
        <x:v>Severity</x:v>
      </x:c>
      <x:c r="E1" s="12" t="str">
        <x:v>Owner</x:v>
      </x:c>
      <x:c r="F1" s="12" t="str">
        <x:v>Ngày phát hiện</x:v>
      </x:c>
      <x:c r="G1" s="12" t="str">
        <x:v>Status</x:v>
      </x:c>
      <x:c r="H1" s="12" t="str">
        <x:v>Retest/Evidence</x:v>
      </x:c>
    </x:row>
    <x:row r="2" ht="15" hidden="0" customHeight="1">
      <x:c r="A2" s="19" t="str">
        <x:v>DEF-001</x:v>
      </x:c>
      <x:c r="B2" s="19" t="str"/>
      <x:c r="C2" s="19" t="str"/>
      <x:c r="D2" s="19" t="str"/>
      <x:c r="E2" s="19" t="str"/>
      <x:c r="F2" s="19" t="str"/>
      <x:c r="G2" s="19" t="str">
        <x:v>Open</x:v>
      </x:c>
      <x:c r="H2" s="19" t="str"/>
    </x:row>
    <x:row r="3" ht="15" hidden="0" customHeight="1">
      <x:c r="A3" s="19" t="str">
        <x:v>DEF-002</x:v>
      </x:c>
      <x:c r="B3" s="19" t="str"/>
      <x:c r="C3" s="19" t="str"/>
      <x:c r="D3" s="19" t="str"/>
      <x:c r="E3" s="19" t="str"/>
      <x:c r="F3" s="19" t="str"/>
      <x:c r="G3" s="19" t="str">
        <x:v>Open</x:v>
      </x:c>
      <x:c r="H3" s="19" t="str"/>
    </x:row>
  </x:sheetData>
  <x:dataValidations count="1">
    <x:dataValidation type="list" sqref="G2:G200">
      <x:formula1>"Pass,Fail,Not run,Open,Closed,Retest,Blocked"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56d67971da4f6b"/>
  </x:tableParts>
</x:worksheet>
</file>