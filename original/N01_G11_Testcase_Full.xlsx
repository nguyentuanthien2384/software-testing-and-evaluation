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 page" sheetId="1" state="visible" r:id="rId3"/>
    <sheet name="Glossary" sheetId="2" state="visible" r:id="rId4"/>
    <sheet name="Dashboard" sheetId="3" state="visible" r:id="rId5"/>
    <sheet name="Functional (Positive)" sheetId="4" state="visible" r:id="rId6"/>
    <sheet name="Validation &amp; Negative" sheetId="5" state="visible" r:id="rId7"/>
    <sheet name="Verify công thức tính tiền" sheetId="6" state="visible" r:id="rId8"/>
    <sheet name="Security Test Cases" sheetId="7" state="visible" r:id="rId9"/>
    <sheet name="Performance &amp; Compatibilit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<sst xmlns="http://schemas.openxmlformats.org/spreadsheetml/2006/main" count="875" uniqueCount="590">
  <si>
    <t xml:space="preserve">BỘ TEST CASE – PHẦN MỀM TÍNH TIỀN DẠY CHO GIÁO VIÊN</t>
  </si>
  <si>
    <t xml:space="preserve">Học phần: Đánh giá và Kiểm định Chất lượng Phần mềm</t>
  </si>
  <si>
    <t xml:space="preserve">Lớp N01 – Nhóm 11   |   GVHD: TS. Mai Thúy Nga</t>
  </si>
  <si>
    <t xml:space="preserve">Phiên bản: 2.0 (hoàn chỉnh)</t>
  </si>
  <si>
    <t xml:space="preserve">Ngày cập nhật: 20/06/2025</t>
  </si>
  <si>
    <t xml:space="preserve">Tác giả: Võ Đinh Thiên Hoàng (Test Designer/Tester)</t>
  </si>
  <si>
    <t xml:space="preserve">Reviewed by: Quách Đức Huy</t>
  </si>
  <si>
    <t xml:space="preserve">Danh sách các sheet:</t>
  </si>
  <si>
    <t xml:space="preserve">• Functional (Positive): 25 TC luồng chính (happy-path)</t>
  </si>
  <si>
    <t xml:space="preserve">• Validation &amp; Negative: 79 TC ràng buộc &amp; ngoại lệ (đã bổ sung UC1.4, UC2.5; vá lỗi đánh số)</t>
  </si>
  <si>
    <t xml:space="preserve">• Verify công thức tính tiền: 6 ca kiểm chứng phép tính (3 ca số liệu thật)</t>
  </si>
  <si>
    <t xml:space="preserve">• Security Test Cases: 10 TC bảo mật</t>
  </si>
  <si>
    <t xml:space="preserve">• Performance &amp; Compatibility: 8 TC hiệu năng + tương thích</t>
  </si>
  <si>
    <t xml:space="preserve">• Dashboard: tổng hợp số liệu toàn bộ</t>
  </si>
  <si>
    <t xml:space="preserve">Quy ước trạng thái: Passed (xanh) / Failed (đỏ) / Chưa thực thi (vàng).</t>
  </si>
  <si>
    <t xml:space="preserve">Lưu ý: Các trạng thái Passed là KẾT QUẢ KỲ VỌNG dựa trên đặc tả + hành vi đã triển khai.</t>
  </si>
  <si>
    <t xml:space="preserve">Nhóm cần chạy thật trên ứng dụng, đính kèm ảnh chụp/log làm minh chứng và cập nhật lại nếu khác.</t>
  </si>
  <si>
    <t xml:space="preserve">THUẬT NGỮ &amp; TỪ VIẾT TẮT</t>
  </si>
  <si>
    <t xml:space="preserve">Từ viết tắt / Thuật ngữ</t>
  </si>
  <si>
    <t xml:space="preserve">Ý nghĩa</t>
  </si>
  <si>
    <t xml:space="preserve">TC</t>
  </si>
  <si>
    <t xml:space="preserve">Test Case – Trường hợp kiểm thử</t>
  </si>
  <si>
    <t xml:space="preserve">UC</t>
  </si>
  <si>
    <t xml:space="preserve">Use Case – Trường hợp sử dụng</t>
  </si>
  <si>
    <t xml:space="preserve">QA</t>
  </si>
  <si>
    <t xml:space="preserve">Quality Assurance – Đảm bảo chất lượng</t>
  </si>
  <si>
    <t xml:space="preserve">CSDL</t>
  </si>
  <si>
    <t xml:space="preserve">Cơ sở dữ liệu</t>
  </si>
  <si>
    <t xml:space="preserve">GV</t>
  </si>
  <si>
    <t xml:space="preserve">Giáo viên / Giảng viên</t>
  </si>
  <si>
    <t xml:space="preserve">SV</t>
  </si>
  <si>
    <t xml:space="preserve">Sinh viên</t>
  </si>
  <si>
    <t xml:space="preserve">HP</t>
  </si>
  <si>
    <t xml:space="preserve">Học phần</t>
  </si>
  <si>
    <t xml:space="preserve">Hệ số bằng cấp</t>
  </si>
  <si>
    <t xml:space="preserve">Hệ số nhân theo trình độ (TS, ThS, KS, CN…)</t>
  </si>
  <si>
    <t xml:space="preserve">Hệ số lớp</t>
  </si>
  <si>
    <t xml:space="preserve">Hệ số điều chỉnh theo sĩ số lớp học phần</t>
  </si>
  <si>
    <t xml:space="preserve">Tiết quy đổi</t>
  </si>
  <si>
    <t xml:space="preserve">Số tiết = Số tiết thực × (Hệ số HP + Hệ số lớp)</t>
  </si>
  <si>
    <t xml:space="preserve">Định mức</t>
  </si>
  <si>
    <t xml:space="preserve">Số tiền cho 1 tiết dạy chuẩn theo năm học</t>
  </si>
  <si>
    <t xml:space="preserve">Happy-path</t>
  </si>
  <si>
    <t xml:space="preserve">Kịch bản thành công theo luồng chính</t>
  </si>
  <si>
    <t xml:space="preserve">Regression</t>
  </si>
  <si>
    <t xml:space="preserve">Kiểm thử hồi quy sau khi sửa lỗi</t>
  </si>
  <si>
    <t xml:space="preserve">DASHBOARD TỔNG HỢP KẾT QUẢ KIỂM THỬ</t>
  </si>
  <si>
    <t xml:space="preserve">Nhóm test case</t>
  </si>
  <si>
    <t xml:space="preserve">Tổng TC</t>
  </si>
  <si>
    <t xml:space="preserve">Passed</t>
  </si>
  <si>
    <t xml:space="preserve">Failed</t>
  </si>
  <si>
    <t xml:space="preserve">Chưa thực thi</t>
  </si>
  <si>
    <t xml:space="preserve">Functional (Positive)</t>
  </si>
  <si>
    <t xml:space="preserve">Validation &amp; Negative</t>
  </si>
  <si>
    <t xml:space="preserve">Security Test Cases</t>
  </si>
  <si>
    <t xml:space="preserve">Performance &amp; Compatibility</t>
  </si>
  <si>
    <t xml:space="preserve">Verify công thức tính tiền</t>
  </si>
  <si>
    <t xml:space="preserve">TỔNG CỘNG</t>
  </si>
  <si>
    <t xml:space="preserve">Ghi chú: Passed = kết quả kỳ vọng (cần chạy thật để xác nhận &amp; đính kèm minh chứng). Failed hiện có: TC008.</t>
  </si>
  <si>
    <t xml:space="preserve">FUNCTIONAL (POSITIVE)</t>
  </si>
  <si>
    <t xml:space="preserve">Kiểm thử luồng chính (happy-path) cho toàn bộ chức năng. Trạng thái = kết quả kỳ vọng; tester chạy thật và đính kèm minh chứng.</t>
  </si>
  <si>
    <t xml:space="preserve">Passed:</t>
  </si>
  <si>
    <t xml:space="preserve">Tổng số TC:</t>
  </si>
  <si>
    <t xml:space="preserve">Failed:</t>
  </si>
  <si>
    <t xml:space="preserve">Chưa thực thi:</t>
  </si>
  <si>
    <t xml:space="preserve">STT</t>
  </si>
  <si>
    <t xml:space="preserve">Nhóm / UC</t>
  </si>
  <si>
    <t xml:space="preserve">Mã TC</t>
  </si>
  <si>
    <t xml:space="preserve">Mô tả test case</t>
  </si>
  <si>
    <t xml:space="preserve">Các bước thực hiện</t>
  </si>
  <si>
    <t xml:space="preserve">Kết quả mong đợi</t>
  </si>
  <si>
    <t xml:space="preserve">Trạng thái</t>
  </si>
  <si>
    <t xml:space="preserve">UC1.1 Bằng cấp</t>
  </si>
  <si>
    <t xml:space="preserve">FUNC001</t>
  </si>
  <si>
    <t xml:space="preserve">Thêm bằng cấp mới hợp lệ</t>
  </si>
  <si>
    <t xml:space="preserve">1. Vào Quản lý bằng cấp → Thêm bằng cấp
2. Nhập Tên đầy đủ='Tiến sĩ', Tên viết tắt='TS'
3. Nhấn Lưu</t>
  </si>
  <si>
    <t xml:space="preserve">Bằng cấp 'Tiến sĩ (TS)' xuất hiện trong danh sách; thông báo lưu thành công</t>
  </si>
  <si>
    <t xml:space="preserve">FUNC002</t>
  </si>
  <si>
    <t xml:space="preserve">Sửa bằng cấp hợp lệ</t>
  </si>
  <si>
    <t xml:space="preserve">1. Chọn bằng cấp → Sửa
2. Đổi tên viết tắt thành 'ThS'
3. Nhấn Cập nhật</t>
  </si>
  <si>
    <t xml:space="preserve">Thông tin được cập nhật và hiển thị đúng trong danh sách</t>
  </si>
  <si>
    <t xml:space="preserve">FUNC003</t>
  </si>
  <si>
    <t xml:space="preserve">Xoá bằng cấp không bị liên kết</t>
  </si>
  <si>
    <t xml:space="preserve">1. Chọn bằng cấp chưa gán cho giáo viên
2. Nhấn Xoá → Xác nhận</t>
  </si>
  <si>
    <t xml:space="preserve">Bằng cấp bị xoá khỏi danh sách</t>
  </si>
  <si>
    <t xml:space="preserve">FUNC004</t>
  </si>
  <si>
    <t xml:space="preserve">Tìm kiếm bằng cấp có kết quả</t>
  </si>
  <si>
    <t xml:space="preserve">1. Nhập 'TS' vào ô tìm kiếm
2. Nhấn Tìm kiếm</t>
  </si>
  <si>
    <t xml:space="preserve">Danh sách lọc hiển thị đúng bằng cấp khớp từ khoá</t>
  </si>
  <si>
    <t xml:space="preserve">UC1.2 Khoa</t>
  </si>
  <si>
    <t xml:space="preserve">FUNC005</t>
  </si>
  <si>
    <t xml:space="preserve">Thêm khoa mới hợp lệ</t>
  </si>
  <si>
    <t xml:space="preserve">1. Quản lý khoa → Thêm khoa
2. Nhập Tên='Khoa CNTT', Viết tắt='CNTT', Mô tả
3. Nhấn Lưu</t>
  </si>
  <si>
    <t xml:space="preserve">Khoa mới xuất hiện trong danh sách</t>
  </si>
  <si>
    <t xml:space="preserve">FUNC006</t>
  </si>
  <si>
    <t xml:space="preserve">Sửa khoa hợp lệ</t>
  </si>
  <si>
    <t xml:space="preserve">1. Chọn khoa → Sửa → đổi mô tả
2. Nhấn Cập nhật</t>
  </si>
  <si>
    <t xml:space="preserve">Khoa được cập nhật đúng</t>
  </si>
  <si>
    <t xml:space="preserve">UC1.3 Giáo viên</t>
  </si>
  <si>
    <t xml:space="preserve">FUNC007</t>
  </si>
  <si>
    <t xml:space="preserve">Thêm giáo viên hợp lệ, mã tự sinh</t>
  </si>
  <si>
    <t xml:space="preserve">1. Thêm giáo viên
2. Nhập họ tên, ngày sinh (trong 22–70 tuổi), email/SĐT hợp lệ
3. Chọn khoa, bằng cấp → Lưu</t>
  </si>
  <si>
    <t xml:space="preserve">Giáo viên được thêm; mã tự sinh đúng định dạng GV0001</t>
  </si>
  <si>
    <t xml:space="preserve">FUNC008</t>
  </si>
  <si>
    <t xml:space="preserve">Sửa giáo viên hợp lệ</t>
  </si>
  <si>
    <t xml:space="preserve">1. Chọn giáo viên → Sửa → đổi email
2. Nhấn Cập nhật</t>
  </si>
  <si>
    <t xml:space="preserve">Dữ liệu giáo viên cập nhật đúng</t>
  </si>
  <si>
    <t xml:space="preserve">FUNC009</t>
  </si>
  <si>
    <t xml:space="preserve">Xoá giáo viên hợp lệ</t>
  </si>
  <si>
    <t xml:space="preserve">1. Chọn giáo viên không có phân công
2. Nhấn Xoá → Xác nhận</t>
  </si>
  <si>
    <t xml:space="preserve">Giáo viên bị xoá khỏi danh sách</t>
  </si>
  <si>
    <t xml:space="preserve">FUNC010</t>
  </si>
  <si>
    <t xml:space="preserve">Tìm kiếm giáo viên theo tên</t>
  </si>
  <si>
    <t xml:space="preserve">1. Nhập tên giáo viên
2. Nhấn Tìm kiếm</t>
  </si>
  <si>
    <t xml:space="preserve">Hiển thị đúng giáo viên khớp tên</t>
  </si>
  <si>
    <t xml:space="preserve">UC1.4 Thống kê GV</t>
  </si>
  <si>
    <t xml:space="preserve">FUNC011</t>
  </si>
  <si>
    <t xml:space="preserve">Thống kê giáo viên theo khoa (có dữ liệu)</t>
  </si>
  <si>
    <t xml:space="preserve">1. Vào Thống kê giáo viên
2. Chọn lọc theo 1 khoa có giáo viên</t>
  </si>
  <si>
    <t xml:space="preserve">Hiển thị đúng danh sách &amp; tổng số giáo viên của khoa</t>
  </si>
  <si>
    <t xml:space="preserve">UC2.1 Học phần</t>
  </si>
  <si>
    <t xml:space="preserve">FUNC012</t>
  </si>
  <si>
    <t xml:space="preserve">Thêm học phần hợp lệ</t>
  </si>
  <si>
    <t xml:space="preserve">1. Thêm học phần
2. Nhập mã='CNTT101', tên, số tín chỉ=3, hệ số=1, số tiết=45
3. Lưu</t>
  </si>
  <si>
    <t xml:space="preserve">Học phần được thêm, tổng số học phần/tiết cập nhật</t>
  </si>
  <si>
    <t xml:space="preserve">UC2.2 Kỳ học</t>
  </si>
  <si>
    <t xml:space="preserve">FUNC013</t>
  </si>
  <si>
    <t xml:space="preserve">Thêm kỳ học hợp lệ</t>
  </si>
  <si>
    <t xml:space="preserve">1. Thêm kỳ học
2. Chọn Học kỳ 1, năm học 2024–2025, ngày BĐ/KT hợp lệ
3. Lưu</t>
  </si>
  <si>
    <t xml:space="preserve">Kỳ học mới xuất hiện, trạng thái đúng (đang/sắp/đã diễn ra)</t>
  </si>
  <si>
    <t xml:space="preserve">UC2.3 Lớp học phần</t>
  </si>
  <si>
    <t xml:space="preserve">FUNC014</t>
  </si>
  <si>
    <t xml:space="preserve">Thêm lớp học phần, mã tự sinh</t>
  </si>
  <si>
    <t xml:space="preserve">1. Thêm lớp
2. Chọn học phần CNTT101, số lượng lớp=2, số SV=30
3. Lưu</t>
  </si>
  <si>
    <t xml:space="preserve">Sinh 2 lớp mã CNTT101.01, CNTT101.02; kỳ đang mở hiển thị sẵn</t>
  </si>
  <si>
    <t xml:space="preserve">UC2.4 Phân công</t>
  </si>
  <si>
    <t xml:space="preserve">FUNC015</t>
  </si>
  <si>
    <t xml:space="preserve">Phân công giảng viên hợp lệ</t>
  </si>
  <si>
    <t xml:space="preserve">1. Vào Phân công GV
2. Chọn giảng viên cho lớp chưa có người dạy
3. Nhấn Gán giảng viên → Xác nhận</t>
  </si>
  <si>
    <t xml:space="preserve">Lớp chuyển trạng thái 'Đã phân công', hiển thị tên giảng viên</t>
  </si>
  <si>
    <t xml:space="preserve">FUNC016</t>
  </si>
  <si>
    <t xml:space="preserve">Huỷ phân công hợp lệ</t>
  </si>
  <si>
    <t xml:space="preserve">1. Chọn lớp đã phân công
2. Nhấn Bỏ gán → Xác nhận</t>
  </si>
  <si>
    <t xml:space="preserve">Liên kết giảng viên–lớp bị gỡ; lớp về 'Chưa phân công'</t>
  </si>
  <si>
    <t xml:space="preserve">UC2.5 Thống kê lớp</t>
  </si>
  <si>
    <t xml:space="preserve">FUNC017</t>
  </si>
  <si>
    <t xml:space="preserve">Thống kê lớp học phần theo kỳ (có dữ liệu)</t>
  </si>
  <si>
    <t xml:space="preserve">1. Vào Thống kê lớp học phần
2. Chọn kỳ/năm/khoa có lớp</t>
  </si>
  <si>
    <t xml:space="preserve">Hiển thị tổng số lớp, lớp đang mở, tổng sinh viên đúng</t>
  </si>
  <si>
    <t xml:space="preserve">UC3.1 Định mức</t>
  </si>
  <si>
    <t xml:space="preserve">FUNC018</t>
  </si>
  <si>
    <t xml:space="preserve">Thêm định mức tiền/tiết theo năm học</t>
  </si>
  <si>
    <t xml:space="preserve">1. Thiết lập định mức tiết
2. Chọn năm 2024–2025, nhập 143000
3. Lưu</t>
  </si>
  <si>
    <t xml:space="preserve">Định mức được lưu và áp dụng cho năm học tương ứng</t>
  </si>
  <si>
    <t xml:space="preserve">UC3.2 Hệ số GV</t>
  </si>
  <si>
    <t xml:space="preserve">FUNC019</t>
  </si>
  <si>
    <t xml:space="preserve">Thiết lập hệ số giáo viên theo bằng cấp</t>
  </si>
  <si>
    <t xml:space="preserve">1. Hệ số giáo viên → Thêm hệ số
2. Chọn ThS, nhập hệ số=2 cho năm 2024–2025
3. Lưu</t>
  </si>
  <si>
    <t xml:space="preserve">Hệ số được lưu theo năm học</t>
  </si>
  <si>
    <t xml:space="preserve">FUNC020</t>
  </si>
  <si>
    <t xml:space="preserve">Sao chép hệ số từ năm trước</t>
  </si>
  <si>
    <t xml:space="preserve">1. Nhấn Sao chép từ năm trước
2. Chọn năm nguồn 2023–2024, năm đích 2024–2025
3. Xác nhận</t>
  </si>
  <si>
    <t xml:space="preserve">Hệ số được sao chép sang năm đích</t>
  </si>
  <si>
    <t xml:space="preserve">UC3.3 Hệ số lớp</t>
  </si>
  <si>
    <t xml:space="preserve">FUNC021</t>
  </si>
  <si>
    <t xml:space="preserve">Thiết lập hệ số lớp theo sĩ số</t>
  </si>
  <si>
    <t xml:space="preserve">1. Hệ số lớp → Thêm quy tắc
2. Nhập khoảng SV và hệ số (vd 40–47 → 0)
3. Lưu</t>
  </si>
  <si>
    <t xml:space="preserve">Quy tắc hệ số lớp được lưu theo sĩ số</t>
  </si>
  <si>
    <t xml:space="preserve">UC3.4 Tính tiền</t>
  </si>
  <si>
    <t xml:space="preserve">FUNC022</t>
  </si>
  <si>
    <t xml:space="preserve">Tính tiền dạy 1 giáo viên trong 1 kỳ</t>
  </si>
  <si>
    <t xml:space="preserve">1. Tính tiền dạy → chọn kỳ + giáo viên
2. Nhấn Tính toán tiền dạy</t>
  </si>
  <si>
    <t xml:space="preserve">Hiển thị bảng chi tiết từng lớp + tổng tiền đúng công thức (xem sheet Verify công thức)</t>
  </si>
  <si>
    <t xml:space="preserve">UC4.1 Báo cáo</t>
  </si>
  <si>
    <t xml:space="preserve">FUNC023</t>
  </si>
  <si>
    <t xml:space="preserve">Báo cáo tiền dạy theo năm + xuất file</t>
  </si>
  <si>
    <t xml:space="preserve">1. Báo cáo → Báo cáo theo giáo viên, năm 2024–2025
2. Tạo báo cáo → Xuất Excel/PDF</t>
  </si>
  <si>
    <t xml:space="preserve">Báo cáo hiển thị tổng tiền &amp; chi tiết; file tải về thành công</t>
  </si>
  <si>
    <t xml:space="preserve">UC4.2 Báo cáo</t>
  </si>
  <si>
    <t xml:space="preserve">FUNC024</t>
  </si>
  <si>
    <t xml:space="preserve">Báo cáo tiền dạy theo khoa</t>
  </si>
  <si>
    <t xml:space="preserve">1. Báo cáo → Báo cáo theo khoa, chọn năm
2. Tạo báo cáo</t>
  </si>
  <si>
    <t xml:space="preserve">Bảng tổng hợp theo khoa hiển thị đúng số GV, số lớp, tổng tiền</t>
  </si>
  <si>
    <t xml:space="preserve">UC4.3 Báo cáo</t>
  </si>
  <si>
    <t xml:space="preserve">FUNC025</t>
  </si>
  <si>
    <t xml:space="preserve">Báo cáo tiền dạy toàn trường</t>
  </si>
  <si>
    <t xml:space="preserve">1. Báo cáo → Báo cáo toàn trường, chọn năm có dữ liệu
2. Tạo báo cáo</t>
  </si>
  <si>
    <t xml:space="preserve">Thống kê theo khoa, tổng tiền từng khoa và toàn trường hiển thị đúng</t>
  </si>
  <si>
    <t xml:space="preserve">VALIDATION &amp; NEGATIVE</t>
  </si>
  <si>
    <t xml:space="preserve">Kiểm thử ràng buộc &amp; luồng ngoại lệ (79 TC). TC008 là lỗi đã phát hiện. Các TC khác = kết quả kỳ vọng, cần chạy lại xác nhận.</t>
  </si>
  <si>
    <t xml:space="preserve">TC001</t>
  </si>
  <si>
    <t xml:space="preserve">Thiếu thông tin bắt buộc khi thêm</t>
  </si>
  <si>
    <t xml:space="preserve">1. Bỏ trống Tên đầy đủ/viết tắt
2. Nhấn Lưu</t>
  </si>
  <si>
    <t xml:space="preserve">Thông báo: 'Vui lòng nhập đầy đủ thông tin bắt buộc.'</t>
  </si>
  <si>
    <t xml:space="preserve">TC002</t>
  </si>
  <si>
    <t xml:space="preserve">Tên viết tắt bị trùng khi thêm</t>
  </si>
  <si>
    <t xml:space="preserve">1. Nhập tên viết tắt đã tồn tại
2. Nhấn Lưu</t>
  </si>
  <si>
    <t xml:space="preserve">'Tên viết tắt đã tồn tại. Vui lòng nhập tên khác.'</t>
  </si>
  <si>
    <t xml:space="preserve">TC003</t>
  </si>
  <si>
    <t xml:space="preserve">Lỗi hệ thống khi lưu</t>
  </si>
  <si>
    <t xml:space="preserve">1. Nhập hợp lệ, mô phỏng lỗi CSDL
2. Nhấn Lưu</t>
  </si>
  <si>
    <t xml:space="preserve">'Có lỗi xảy ra trong quá trình lưu dữ liệu.'</t>
  </si>
  <si>
    <t xml:space="preserve">TC004</t>
  </si>
  <si>
    <t xml:space="preserve">Sửa với ID không tồn tại</t>
  </si>
  <si>
    <t xml:space="preserve">1. Gọi sửa với ID không hợp lệ</t>
  </si>
  <si>
    <t xml:space="preserve">'Không tìm thấy bằng cấp.'</t>
  </si>
  <si>
    <t xml:space="preserve">TC005</t>
  </si>
  <si>
    <t xml:space="preserve">Sửa với tên viết tắt trùng</t>
  </si>
  <si>
    <t xml:space="preserve">1. Đổi tên viết tắt trùng bản ghi khác
2. Cập nhật</t>
  </si>
  <si>
    <t xml:space="preserve">'Tên viết tắt đã tồn tại.'</t>
  </si>
  <si>
    <t xml:space="preserve">TC006</t>
  </si>
  <si>
    <t xml:space="preserve">Không có thay đổi khi sửa</t>
  </si>
  <si>
    <t xml:space="preserve">1. Mở sửa, không đổi gì
2. Cập nhật</t>
  </si>
  <si>
    <t xml:space="preserve">'Không có thay đổi để cập nhật.'</t>
  </si>
  <si>
    <t xml:space="preserve">TC007</t>
  </si>
  <si>
    <t xml:space="preserve">Xoá bằng cấp đang được sử dụng</t>
  </si>
  <si>
    <t xml:space="preserve">1. Xoá bằng cấp đã gán cho giáo viên</t>
  </si>
  <si>
    <t xml:space="preserve">'Không thể xoá bằng cấp đang được sử dụng.'</t>
  </si>
  <si>
    <t xml:space="preserve">TC008</t>
  </si>
  <si>
    <t xml:space="preserve">Huỷ xác nhận xoá</t>
  </si>
  <si>
    <t xml:space="preserve">1. Nhấn Xoá → Nhấn Huỷ tại hộp thoại</t>
  </si>
  <si>
    <t xml:space="preserve">Thao tác xoá bị huỷ, dữ liệu không đổi</t>
  </si>
  <si>
    <t xml:space="preserve">TC009</t>
  </si>
  <si>
    <t xml:space="preserve">Lỗi hệ thống khi xoá</t>
  </si>
  <si>
    <t xml:space="preserve">1. Nhấn Xoá, mô phỏng lỗi CSDL</t>
  </si>
  <si>
    <t xml:space="preserve">'Có lỗi xảy ra khi xoá bằng cấp.'</t>
  </si>
  <si>
    <t xml:space="preserve">TC010</t>
  </si>
  <si>
    <t xml:space="preserve">Không nhập tiêu chí tìm kiếm</t>
  </si>
  <si>
    <t xml:space="preserve">1. Để trống ô tìm kiếm
2. Nhấn Tìm</t>
  </si>
  <si>
    <t xml:space="preserve">'Vui lòng nhập tiêu chí tìm kiếm.'</t>
  </si>
  <si>
    <t xml:space="preserve">TC011</t>
  </si>
  <si>
    <t xml:space="preserve">Tìm kiếm không có kết quả</t>
  </si>
  <si>
    <t xml:space="preserve">1. Nhập từ khoá không khớp</t>
  </si>
  <si>
    <t xml:space="preserve">'Không có dữ liệu phù hợp.'</t>
  </si>
  <si>
    <t xml:space="preserve">TC012</t>
  </si>
  <si>
    <t xml:space="preserve">Lỗi hệ thống khi tìm kiếm</t>
  </si>
  <si>
    <t xml:space="preserve">1. Mô phỏng lỗi truy vấn</t>
  </si>
  <si>
    <t xml:space="preserve">'Đã xảy ra lỗi khi tìm kiếm.'</t>
  </si>
  <si>
    <t xml:space="preserve">TC013</t>
  </si>
  <si>
    <t xml:space="preserve">Danh sách rỗng</t>
  </si>
  <si>
    <t xml:space="preserve">1. Truy cập khi chưa có dữ liệu</t>
  </si>
  <si>
    <t xml:space="preserve">'Hiện không có bằng cấp nào trong hệ thống.'</t>
  </si>
  <si>
    <t xml:space="preserve">TC014</t>
  </si>
  <si>
    <t xml:space="preserve">Lỗi tải danh sách</t>
  </si>
  <si>
    <t xml:space="preserve">1. Mô phỏng lỗi kết nối khi tải</t>
  </si>
  <si>
    <t xml:space="preserve">'Không thể tải danh sách bằng cấp.'</t>
  </si>
  <si>
    <t xml:space="preserve">TC015</t>
  </si>
  <si>
    <t xml:space="preserve">Thiếu tên khoa khi thêm</t>
  </si>
  <si>
    <t xml:space="preserve">1. Bỏ trống Tên khoa
2. Lưu</t>
  </si>
  <si>
    <t xml:space="preserve">'Tên khoa không được để trống.'</t>
  </si>
  <si>
    <t xml:space="preserve">TC016</t>
  </si>
  <si>
    <t xml:space="preserve">Tên viết tắt trùng khi thêm</t>
  </si>
  <si>
    <t xml:space="preserve">1. Nhập viết tắt đã tồn tại
2. Lưu</t>
  </si>
  <si>
    <t xml:space="preserve">TC017</t>
  </si>
  <si>
    <t xml:space="preserve">Sửa khoa ID không tồn tại</t>
  </si>
  <si>
    <t xml:space="preserve">1. Sửa với ID không hợp lệ</t>
  </si>
  <si>
    <t xml:space="preserve">'Không tìm thấy khoa.'</t>
  </si>
  <si>
    <t xml:space="preserve">TC018</t>
  </si>
  <si>
    <t xml:space="preserve">Sửa khoa viết tắt trùng</t>
  </si>
  <si>
    <t xml:space="preserve">1. Đổi viết tắt trùng khoa khác</t>
  </si>
  <si>
    <t xml:space="preserve">TC019</t>
  </si>
  <si>
    <t xml:space="preserve">Xoá khoa đang có giảng viên</t>
  </si>
  <si>
    <t xml:space="preserve">1. Xoá khoa còn giáo viên</t>
  </si>
  <si>
    <t xml:space="preserve">'Không thể xoá khoa đang có giáo viên.'</t>
  </si>
  <si>
    <t xml:space="preserve">TC020</t>
  </si>
  <si>
    <t xml:space="preserve">Huỷ xác nhận xoá khoa</t>
  </si>
  <si>
    <t xml:space="preserve">1. Xoá → Huỷ</t>
  </si>
  <si>
    <t xml:space="preserve">Thao tác xoá bị huỷ</t>
  </si>
  <si>
    <t xml:space="preserve">TC021</t>
  </si>
  <si>
    <t xml:space="preserve">Tìm kiếm khoa không kết quả</t>
  </si>
  <si>
    <t xml:space="preserve">TC022</t>
  </si>
  <si>
    <t xml:space="preserve">Không nhập tiêu chí tìm kiếm khoa</t>
  </si>
  <si>
    <t xml:space="preserve">1. Để trống ô tìm kiếm</t>
  </si>
  <si>
    <t xml:space="preserve">TC023</t>
  </si>
  <si>
    <t xml:space="preserve">Danh sách khoa rỗng</t>
  </si>
  <si>
    <t xml:space="preserve">'Hiện chưa có dữ liệu khoa.'</t>
  </si>
  <si>
    <t xml:space="preserve">TC024</t>
  </si>
  <si>
    <t xml:space="preserve">Thiếu thông tin khi thêm GV</t>
  </si>
  <si>
    <t xml:space="preserve">1. Bỏ trống họ tên/khoa/bằng cấp
2. Lưu</t>
  </si>
  <si>
    <t xml:space="preserve">'Vui lòng nhập đầy đủ thông tin.'</t>
  </si>
  <si>
    <t xml:space="preserve">TC025</t>
  </si>
  <si>
    <t xml:space="preserve">Ngày sinh không hợp lệ</t>
  </si>
  <si>
    <t xml:space="preserve">1. Nhập tuổi &lt;22 hoặc &gt;70</t>
  </si>
  <si>
    <t xml:space="preserve">'Ngày sinh không hợp lệ.'</t>
  </si>
  <si>
    <t xml:space="preserve">TC026</t>
  </si>
  <si>
    <t xml:space="preserve">Email/SĐT sai định dạng</t>
  </si>
  <si>
    <t xml:space="preserve">1. Nhập email/SĐT sai định dạng</t>
  </si>
  <si>
    <t xml:space="preserve">'Email/số điện thoại không hợp lệ.'</t>
  </si>
  <si>
    <t xml:space="preserve">TC027</t>
  </si>
  <si>
    <t xml:space="preserve">Khoa/bằng cấp không tồn tại</t>
  </si>
  <si>
    <t xml:space="preserve">1. Chọn khoa/bằng cấp đã bị xoá</t>
  </si>
  <si>
    <t xml:space="preserve">'Dữ liệu khoa hoặc bằng cấp không hợp lệ.'</t>
  </si>
  <si>
    <t xml:space="preserve">TC028</t>
  </si>
  <si>
    <t xml:space="preserve">Sửa GV ID không tồn tại</t>
  </si>
  <si>
    <t xml:space="preserve">1. Sửa với ID đã xoá</t>
  </si>
  <si>
    <t xml:space="preserve">'Không tìm thấy giáo viên.'</t>
  </si>
  <si>
    <t xml:space="preserve">TC029</t>
  </si>
  <si>
    <t xml:space="preserve">Sửa GV định dạng sai</t>
  </si>
  <si>
    <t xml:space="preserve">1. Nhập email/ngày sinh sai khi sửa</t>
  </si>
  <si>
    <t xml:space="preserve">Thông báo lỗi tương ứng</t>
  </si>
  <si>
    <t xml:space="preserve">TC030</t>
  </si>
  <si>
    <t xml:space="preserve">Xoá GV ID không tồn tại</t>
  </si>
  <si>
    <t xml:space="preserve">1. Xoá với ID không hợp lệ</t>
  </si>
  <si>
    <t xml:space="preserve">'Không thể xoá – giáo viên không tồn tại.'</t>
  </si>
  <si>
    <t xml:space="preserve">TC031</t>
  </si>
  <si>
    <t xml:space="preserve">Tìm kiếm GV không kết quả</t>
  </si>
  <si>
    <t xml:space="preserve">1. Nhập tên/khoa/bằng cấp không khớp</t>
  </si>
  <si>
    <t xml:space="preserve">TC032</t>
  </si>
  <si>
    <t xml:space="preserve">Danh sách GV rỗng</t>
  </si>
  <si>
    <t xml:space="preserve">'Chưa có dữ liệu giáo viên.'</t>
  </si>
  <si>
    <t xml:space="preserve">TC033</t>
  </si>
  <si>
    <t xml:space="preserve">Thống kê theo khoa không có GV</t>
  </si>
  <si>
    <t xml:space="preserve">1. Chọn khoa không có giáo viên</t>
  </si>
  <si>
    <t xml:space="preserve">'Không tìm thấy giáo viên nào phù hợp với bộ lọc.'</t>
  </si>
  <si>
    <t xml:space="preserve">TC034</t>
  </si>
  <si>
    <t xml:space="preserve">Thống kê theo bằng cấp không có dữ liệu</t>
  </si>
  <si>
    <t xml:space="preserve">1. Chọn bằng cấp chưa GV nào dùng</t>
  </si>
  <si>
    <t xml:space="preserve">'Không có dữ liệu.'</t>
  </si>
  <si>
    <t xml:space="preserve">TC035</t>
  </si>
  <si>
    <t xml:space="preserve">Thống kê theo cả khoa &amp; bằng cấp không khớp</t>
  </si>
  <si>
    <t xml:space="preserve">1. Chọn khoa + bằng cấp không có GV thoả mãn</t>
  </si>
  <si>
    <t xml:space="preserve">TC036</t>
  </si>
  <si>
    <t xml:space="preserve">Thêm học phần thiếu thông tin</t>
  </si>
  <si>
    <t xml:space="preserve">1. Bỏ trống trường bắt buộc
2. Lưu</t>
  </si>
  <si>
    <t xml:space="preserve">'Vui lòng nhập đầy đủ thông tin học phần.'</t>
  </si>
  <si>
    <t xml:space="preserve">TC037</t>
  </si>
  <si>
    <t xml:space="preserve">Thêm học phần trùng mã</t>
  </si>
  <si>
    <t xml:space="preserve">1. Nhập mã đã tồn tại</t>
  </si>
  <si>
    <t xml:space="preserve">'Mã học phần đã tồn tại.'</t>
  </si>
  <si>
    <t xml:space="preserve">TC038</t>
  </si>
  <si>
    <t xml:space="preserve">Thêm học phần sai định dạng số</t>
  </si>
  <si>
    <t xml:space="preserve">1. Nhập số tín chỉ âm hoặc hệ số sai</t>
  </si>
  <si>
    <t xml:space="preserve">Thông báo lỗi định dạng không hợp lệ</t>
  </si>
  <si>
    <t xml:space="preserve">TC039</t>
  </si>
  <si>
    <t xml:space="preserve">Xoá học phần đã được sử dụng</t>
  </si>
  <si>
    <t xml:space="preserve">1. Xoá học phần đã gán cho lớp</t>
  </si>
  <si>
    <t xml:space="preserve">'Không thể xoá học phần đã được sử dụng.'</t>
  </si>
  <si>
    <t xml:space="preserve">TC040</t>
  </si>
  <si>
    <t xml:space="preserve">Thêm kỳ học thiếu thông tin</t>
  </si>
  <si>
    <t xml:space="preserve">1. Bỏ trống trường bắt buộc</t>
  </si>
  <si>
    <t xml:space="preserve">'Vui lòng nhập đầy đủ thông tin kỳ học.'</t>
  </si>
  <si>
    <t xml:space="preserve">TC041</t>
  </si>
  <si>
    <t xml:space="preserve">Thêm kỳ học trùng tên + năm</t>
  </si>
  <si>
    <t xml:space="preserve">1. Nhập kỳ + năm đã tồn tại</t>
  </si>
  <si>
    <t xml:space="preserve">'Kỳ học đã tồn tại.'</t>
  </si>
  <si>
    <t xml:space="preserve">TC042</t>
  </si>
  <si>
    <t xml:space="preserve">Thêm kỳ học ngày không hợp lệ</t>
  </si>
  <si>
    <t xml:space="preserve">1. Nhập ngày KT trước ngày BĐ</t>
  </si>
  <si>
    <t xml:space="preserve">'Ngày không hợp lệ.'</t>
  </si>
  <si>
    <t xml:space="preserve">TC043</t>
  </si>
  <si>
    <t xml:space="preserve">Sửa kỳ học không tồn tại</t>
  </si>
  <si>
    <t xml:space="preserve">'Không tìm thấy kỳ học.'</t>
  </si>
  <si>
    <t xml:space="preserve">TC044</t>
  </si>
  <si>
    <t xml:space="preserve">Xoá kỳ học đã có lớp</t>
  </si>
  <si>
    <t xml:space="preserve">1. Xoá kỳ đã có lớp học phần</t>
  </si>
  <si>
    <t xml:space="preserve">'Không thể xoá kỳ học đã có lớp học phần.'</t>
  </si>
  <si>
    <t xml:space="preserve">TC045</t>
  </si>
  <si>
    <t xml:space="preserve">Thêm lớp thiếu thông tin</t>
  </si>
  <si>
    <t xml:space="preserve">1. Bỏ trống tên lớp/học phần/số SV</t>
  </si>
  <si>
    <t xml:space="preserve">TC046</t>
  </si>
  <si>
    <t xml:space="preserve">Sửa lớp không tồn tại</t>
  </si>
  <si>
    <t xml:space="preserve">'Không tìm thấy lớp học phần.'</t>
  </si>
  <si>
    <t xml:space="preserve">TC047</t>
  </si>
  <si>
    <t xml:space="preserve">Sửa lớp thông tin không hợp lệ</t>
  </si>
  <si>
    <t xml:space="preserve">1. Nhập số SV âm/định dạng sai</t>
  </si>
  <si>
    <t xml:space="preserve">TC048</t>
  </si>
  <si>
    <t xml:space="preserve">Xoá lớp đã phân công</t>
  </si>
  <si>
    <t xml:space="preserve">1. Xoá lớp đã có giảng viên</t>
  </si>
  <si>
    <t xml:space="preserve">'Không thể xoá lớp đã được phân công.'</t>
  </si>
  <si>
    <t xml:space="preserve">TC049</t>
  </si>
  <si>
    <t xml:space="preserve">Tìm kiếm lớp không kết quả</t>
  </si>
  <si>
    <t xml:space="preserve">1. Nhập tiêu chí không khớp</t>
  </si>
  <si>
    <t xml:space="preserve">TC050</t>
  </si>
  <si>
    <t xml:space="preserve">Danh sách lớp rỗng</t>
  </si>
  <si>
    <t xml:space="preserve">1. Truy cập khi chưa có lớp</t>
  </si>
  <si>
    <t xml:space="preserve">Hiển thị danh sách rỗng</t>
  </si>
  <si>
    <t xml:space="preserve">TC051</t>
  </si>
  <si>
    <t xml:space="preserve">Phân công lớp/GV không tồn tại</t>
  </si>
  <si>
    <t xml:space="preserve">1. Phân công với ID không hợp lệ</t>
  </si>
  <si>
    <t xml:space="preserve">'Không tìm thấy thông tin.'</t>
  </si>
  <si>
    <t xml:space="preserve">TC052</t>
  </si>
  <si>
    <t xml:space="preserve">Phân công lớp đã có người dạy</t>
  </si>
  <si>
    <t xml:space="preserve">1. Gán GV cho lớp đã phân công</t>
  </si>
  <si>
    <t xml:space="preserve">'Lớp đã có người dạy.'</t>
  </si>
  <si>
    <t xml:space="preserve">TC053</t>
  </si>
  <si>
    <t xml:space="preserve">Huỷ phân công khi chưa phân công</t>
  </si>
  <si>
    <t xml:space="preserve">1. Bỏ gán lớp chưa có người dạy</t>
  </si>
  <si>
    <t xml:space="preserve">'Không thể huỷ vì chưa có phân công.'</t>
  </si>
  <si>
    <t xml:space="preserve">TC054</t>
  </si>
  <si>
    <t xml:space="preserve">Thống kê lớp không có dữ liệu</t>
  </si>
  <si>
    <t xml:space="preserve">1. Chọn kỳ không có lớp đang mở</t>
  </si>
  <si>
    <t xml:space="preserve">'Không có kết quả thống kê.'</t>
  </si>
  <si>
    <t xml:space="preserve">TC055</t>
  </si>
  <si>
    <t xml:space="preserve">Lỗi hệ thống khi thống kê lớp</t>
  </si>
  <si>
    <t xml:space="preserve">1. Mô phỏng lỗi truy vấn khi thống kê</t>
  </si>
  <si>
    <t xml:space="preserve">Không hiển thị danh sách thống kê; báo lỗi hệ thống</t>
  </si>
  <si>
    <t xml:space="preserve">TC056</t>
  </si>
  <si>
    <t xml:space="preserve">Thêm định mức thiếu số tiền</t>
  </si>
  <si>
    <t xml:space="preserve">1. Bỏ trống số tiền
2. Lưu</t>
  </si>
  <si>
    <t xml:space="preserve">'Vui lòng nhập số tiền.'</t>
  </si>
  <si>
    <t xml:space="preserve">TC057</t>
  </si>
  <si>
    <t xml:space="preserve">Thêm định mức trùng năm học</t>
  </si>
  <si>
    <t xml:space="preserve">1. Nhập định mức cho năm đã có</t>
  </si>
  <si>
    <t xml:space="preserve">'Payment rate for academic year already exists.'</t>
  </si>
  <si>
    <t xml:space="preserve">TC058</t>
  </si>
  <si>
    <t xml:space="preserve">Sửa định mức ID không tồn tại</t>
  </si>
  <si>
    <t xml:space="preserve">'Không tìm thấy định mức.'</t>
  </si>
  <si>
    <t xml:space="preserve">TC059</t>
  </si>
  <si>
    <t xml:space="preserve">Sửa định mức trùng kỳ</t>
  </si>
  <si>
    <t xml:space="preserve">1. Đổi sang năm đã có định mức</t>
  </si>
  <si>
    <t xml:space="preserve">'Định mức đã tồn tại cho kỳ này.'</t>
  </si>
  <si>
    <t xml:space="preserve">TC060</t>
  </si>
  <si>
    <t xml:space="preserve">Xoá định mức đang dùng</t>
  </si>
  <si>
    <t xml:space="preserve">1. Xoá định mức đã áp dụng tính tiền</t>
  </si>
  <si>
    <t xml:space="preserve">'Không thể xoá vì đã được sử dụng.'</t>
  </si>
  <si>
    <t xml:space="preserve">TC061</t>
  </si>
  <si>
    <t xml:space="preserve">Xem lịch sử định mức rỗng</t>
  </si>
  <si>
    <t xml:space="preserve">1. Chọn năm chưa có định mức</t>
  </si>
  <si>
    <t xml:space="preserve">TC062</t>
  </si>
  <si>
    <t xml:space="preserve">Thêm hệ số âm hoặc bằng 0</t>
  </si>
  <si>
    <t xml:space="preserve">1. Nhập hệ số ≤ 0</t>
  </si>
  <si>
    <t xml:space="preserve">'Hệ số không hợp lệ.'</t>
  </si>
  <si>
    <t xml:space="preserve">TC063</t>
  </si>
  <si>
    <t xml:space="preserve">Thêm hệ số trùng năm học</t>
  </si>
  <si>
    <t xml:space="preserve">1. Nhập hệ số cho bằng cấp+năm đã có</t>
  </si>
  <si>
    <t xml:space="preserve">'Hệ số đã tồn tại.'</t>
  </si>
  <si>
    <t xml:space="preserve">TC064</t>
  </si>
  <si>
    <t xml:space="preserve">Sửa hệ số ID không tồn tại</t>
  </si>
  <si>
    <t xml:space="preserve">'Không tìm thấy hệ số.'</t>
  </si>
  <si>
    <t xml:space="preserve">TC065</t>
  </si>
  <si>
    <t xml:space="preserve">Sửa hệ số giá trị bất hợp lệ</t>
  </si>
  <si>
    <t xml:space="preserve">1. Nhập hệ số ≤ 0 khi sửa</t>
  </si>
  <si>
    <t xml:space="preserve">TC066</t>
  </si>
  <si>
    <t xml:space="preserve">Xoá hệ số đang dùng</t>
  </si>
  <si>
    <t xml:space="preserve">1. Xoá hệ số đã áp dụng</t>
  </si>
  <si>
    <t xml:space="preserve">'Không thể xoá hệ số đang được sử dụng.'</t>
  </si>
  <si>
    <t xml:space="preserve">TC067</t>
  </si>
  <si>
    <t xml:space="preserve">Thêm hệ số lớp thiếu thông tin</t>
  </si>
  <si>
    <t xml:space="preserve">1. Bỏ trống loại lớp/hệ số</t>
  </si>
  <si>
    <t xml:space="preserve">TC068</t>
  </si>
  <si>
    <t xml:space="preserve">Thêm hệ số lớp trùng dữ liệu</t>
  </si>
  <si>
    <t xml:space="preserve">1. Nhập trùng khoảng SV trong năm</t>
  </si>
  <si>
    <t xml:space="preserve">Thông báo lỗi phù hợp</t>
  </si>
  <si>
    <t xml:space="preserve">TC069</t>
  </si>
  <si>
    <t xml:space="preserve">Sửa hệ số lớp ID không tồn tại</t>
  </si>
  <si>
    <t xml:space="preserve">'Không tìm thấy hệ số lớp.'</t>
  </si>
  <si>
    <t xml:space="preserve">TC070</t>
  </si>
  <si>
    <t xml:space="preserve">Xoá hệ số lớp đang dùng</t>
  </si>
  <si>
    <t xml:space="preserve">1. Xoá hệ số đã gắn lớp học phần</t>
  </si>
  <si>
    <t xml:space="preserve">'Không thể xoá hệ số đang sử dụng.'</t>
  </si>
  <si>
    <t xml:space="preserve">TC071</t>
  </si>
  <si>
    <t xml:space="preserve">Sao chép hệ số năm đích đã có dữ liệu</t>
  </si>
  <si>
    <t xml:space="preserve">1. Sao chép sang năm đã có dữ liệu</t>
  </si>
  <si>
    <t xml:space="preserve">'Academic year already has existing rules…'</t>
  </si>
  <si>
    <t xml:space="preserve">TC072</t>
  </si>
  <si>
    <t xml:space="preserve">Tính tiền khi GV không có tiết dạy</t>
  </si>
  <si>
    <t xml:space="preserve">1. Chọn GV không dạy lớp nào trong kỳ</t>
  </si>
  <si>
    <t xml:space="preserve">TC073</t>
  </si>
  <si>
    <t xml:space="preserve">Tính tiền khi thiếu định mức/hệ số</t>
  </si>
  <si>
    <t xml:space="preserve">1. Tính tiền khi chưa thiết lập đủ dữ liệu</t>
  </si>
  <si>
    <t xml:space="preserve">'Chưa thiết lập đầy đủ dữ liệu.'</t>
  </si>
  <si>
    <t xml:space="preserve">UC4.1 Báo cáo năm</t>
  </si>
  <si>
    <t xml:space="preserve">TC074</t>
  </si>
  <si>
    <t xml:space="preserve">Báo cáo năm không có dữ liệu</t>
  </si>
  <si>
    <t xml:space="preserve">1. Chọn GV không dạy trong năm</t>
  </si>
  <si>
    <t xml:space="preserve">'Không có dữ liệu giảng dạy.'</t>
  </si>
  <si>
    <t xml:space="preserve">TC075</t>
  </si>
  <si>
    <t xml:space="preserve">Báo cáo năm thiếu định mức</t>
  </si>
  <si>
    <t xml:space="preserve">'Chưa thiết lập định mức.'</t>
  </si>
  <si>
    <t xml:space="preserve">UC4.2 Báo cáo khoa</t>
  </si>
  <si>
    <t xml:space="preserve">TC076</t>
  </si>
  <si>
    <t xml:space="preserve">Báo cáo khoa không có giảng viên</t>
  </si>
  <si>
    <t xml:space="preserve">1. Chọn khoa không có GV</t>
  </si>
  <si>
    <t xml:space="preserve">'Không có giảng viên nào trong khoa này.'</t>
  </si>
  <si>
    <t xml:space="preserve">TC077</t>
  </si>
  <si>
    <t xml:space="preserve">Báo cáo khoa thiếu định mức</t>
  </si>
  <si>
    <t xml:space="preserve">UC4.3 Báo cáo trường</t>
  </si>
  <si>
    <t xml:space="preserve">TC078</t>
  </si>
  <si>
    <t xml:space="preserve">Báo cáo toàn trường thiếu định mức</t>
  </si>
  <si>
    <t xml:space="preserve">'Chưa thiết lập định mức tiền giảng dạy.'</t>
  </si>
  <si>
    <t xml:space="preserve">TC079</t>
  </si>
  <si>
    <t xml:space="preserve">Báo cáo toàn trường thiếu dữ liệu lớp/phân công</t>
  </si>
  <si>
    <t xml:space="preserve">1. Chọn năm chưa có lớp/phân công</t>
  </si>
  <si>
    <t xml:space="preserve">'Thiếu dữ liệu lớp học phần hoặc phân công giảng viên.'</t>
  </si>
  <si>
    <t xml:space="preserve">KIỂM CHỨNG CÔNG THỨC TÍNH TIỀN DẠY</t>
  </si>
  <si>
    <t xml:space="preserve">Công thức: Tiết quy đổi = Số tiết × (Hệ số HP + Hệ số lớp);  Thành tiền = Tiết quy đổi × Định mức × Hệ số bằng cấp</t>
  </si>
  <si>
    <t xml:space="preserve">Cột 'Thành tiền (công thức)' và 'Tiết quy đổi' do Excel tự tính. Cột 'Khớp?' so sánh với số hệ thống hiển thị. 3 ca đầu lấy số liệu thật từ báo cáo của nhóm.</t>
  </si>
  <si>
    <t xml:space="preserve">Giáo viên / Lớp</t>
  </si>
  <si>
    <t xml:space="preserve">Số tiết</t>
  </si>
  <si>
    <t xml:space="preserve">Hệ số HP</t>
  </si>
  <si>
    <t xml:space="preserve">Định mức (đ)</t>
  </si>
  <si>
    <t xml:space="preserve">Thành tiền (công thức)</t>
  </si>
  <si>
    <t xml:space="preserve">Số hệ thống hiển thị</t>
  </si>
  <si>
    <t xml:space="preserve">Khớp?</t>
  </si>
  <si>
    <t xml:space="preserve">CALC001</t>
  </si>
  <si>
    <t xml:space="preserve">Bùi Thị Hoa – Mạch điện tử (L53)</t>
  </si>
  <si>
    <t xml:space="preserve">CALC002</t>
  </si>
  <si>
    <t xml:space="preserve">Bùi Thị Hoa – Cấu trúc DL (L02)</t>
  </si>
  <si>
    <t xml:space="preserve">CALC003</t>
  </si>
  <si>
    <t xml:space="preserve">Trần Thị Bình – CNTT201 (L01)</t>
  </si>
  <si>
    <t xml:space="preserve">CALC004</t>
  </si>
  <si>
    <t xml:space="preserve">Lớp chuẩn 40–47 SV (hệ số 0)</t>
  </si>
  <si>
    <t xml:space="preserve">(tester điền)</t>
  </si>
  <si>
    <t xml:space="preserve">(điền sau khi chạy)</t>
  </si>
  <si>
    <t xml:space="preserve">CALC005</t>
  </si>
  <si>
    <t xml:space="preserve">Lớp nhỏ 20–27 SV (hệ số -0.2)</t>
  </si>
  <si>
    <t xml:space="preserve">CALC006</t>
  </si>
  <si>
    <t xml:space="preserve">Lớp lớn 60–68 SV (hệ số +0.2)</t>
  </si>
  <si>
    <t xml:space="preserve">SECURITY TEST CASES</t>
  </si>
  <si>
    <t xml:space="preserve">Kiểm thử bảo mật. Phần lớn cần chạy thật → trạng thái 'Chưa thực thi'. SEC005 ghi nhận hạn chế chưa có xác thực.</t>
  </si>
  <si>
    <t xml:space="preserve">Input Validation</t>
  </si>
  <si>
    <t xml:space="preserve">SEC001</t>
  </si>
  <si>
    <t xml:space="preserve">SQL Injection ở ô tìm kiếm</t>
  </si>
  <si>
    <t xml:space="preserve">1. Nhập ' OR '1'='1 vào ô tìm kiếm giáo viên
2. Gửi truy vấn</t>
  </si>
  <si>
    <t xml:space="preserve">Hệ thống không trả về toàn bộ bản ghi; truy vấn dùng tham số hoá (Prisma) nên vô hiệu hoá injection</t>
  </si>
  <si>
    <t xml:space="preserve">SEC002</t>
  </si>
  <si>
    <t xml:space="preserve">XSS lưu trữ ở trường văn bản</t>
  </si>
  <si>
    <t xml:space="preserve">1. Nhập &lt;script&gt;alert(1)&lt;/script&gt; vào tên/mô tả
2. Lưu và mở lại</t>
  </si>
  <si>
    <t xml:space="preserve">Chuỗi được escape, không thực thi script khi render</t>
  </si>
  <si>
    <t xml:space="preserve">SEC003</t>
  </si>
  <si>
    <t xml:space="preserve">Vượt giới hạn độ dài đầu vào</t>
  </si>
  <si>
    <t xml:space="preserve">1. Nhập chuỗi rất dài (&gt;5000 ký tự) vào trường tên</t>
  </si>
  <si>
    <t xml:space="preserve">Hệ thống từ chối/cắt và báo lỗi, không crash</t>
  </si>
  <si>
    <t xml:space="preserve">Access Control</t>
  </si>
  <si>
    <t xml:space="preserve">SEC004</t>
  </si>
  <si>
    <t xml:space="preserve">Truy cập API không qua giao diện</t>
  </si>
  <si>
    <t xml:space="preserve">1. Gọi trực tiếp /api/teachers bằng phương thức POST/DELETE từ công cụ ngoài</t>
  </si>
  <si>
    <t xml:space="preserve">Hệ thống xử lý hợp lệ; (khuyến nghị) yêu cầu xác thực khi triển khai thật</t>
  </si>
  <si>
    <t xml:space="preserve">SEC005</t>
  </si>
  <si>
    <t xml:space="preserve">Truy cập trang quản trị khi chưa đăng nhập</t>
  </si>
  <si>
    <t xml:space="preserve">1. Mở URL chức năng quản trị ở phiên ẩn danh</t>
  </si>
  <si>
    <t xml:space="preserve">(Hạn chế hiện tại: chưa có auth) – ghi nhận là rủi ro, đề xuất NextAuth.js</t>
  </si>
  <si>
    <t xml:space="preserve">Data Integrity</t>
  </si>
  <si>
    <t xml:space="preserve">SEC006</t>
  </si>
  <si>
    <t xml:space="preserve">Sửa tham số ID trên URL/Request</t>
  </si>
  <si>
    <t xml:space="preserve">1. Đổi id trong request cập nhật sang bản ghi khác</t>
  </si>
  <si>
    <t xml:space="preserve">Chỉ bản ghi hợp lệ bị ảnh hưởng; ID không tồn tại bị từ chối</t>
  </si>
  <si>
    <t xml:space="preserve">SEC007</t>
  </si>
  <si>
    <t xml:space="preserve">Tính toàn vẹn tham chiếu khi xoá</t>
  </si>
  <si>
    <t xml:space="preserve">1. Thử xoá khoa/bằng cấp/học phần đang được tham chiếu</t>
  </si>
  <si>
    <t xml:space="preserve">Hệ thống chặn xoá và báo ràng buộc khoá ngoại</t>
  </si>
  <si>
    <t xml:space="preserve">Validation</t>
  </si>
  <si>
    <t xml:space="preserve">SEC008</t>
  </si>
  <si>
    <t xml:space="preserve">Giá trị số âm/biên ở hệ số &amp; định mức</t>
  </si>
  <si>
    <t xml:space="preserve">1. Nhập hệ số âm, định mức âm, số tiết âm</t>
  </si>
  <si>
    <t xml:space="preserve">Hệ thống từ chối, báo 'không hợp lệ'</t>
  </si>
  <si>
    <t xml:space="preserve">SEC009</t>
  </si>
  <si>
    <t xml:space="preserve">Chèn ký tự đặc biệt vào email/SĐT</t>
  </si>
  <si>
    <t xml:space="preserve">1. Nhập email/SĐT chứa ký tự lạ</t>
  </si>
  <si>
    <t xml:space="preserve">Báo định dạng không hợp lệ, không lưu</t>
  </si>
  <si>
    <t xml:space="preserve">Session/Transport</t>
  </si>
  <si>
    <t xml:space="preserve">SEC010</t>
  </si>
  <si>
    <t xml:space="preserve">Kiểm tra lộ thông tin nhạy cảm</t>
  </si>
  <si>
    <t xml:space="preserve">1. Quan sát response API có lộ dữ liệu thừa/không cần thiết</t>
  </si>
  <si>
    <t xml:space="preserve">Response chỉ trả về trường cần thiết; (khuyến nghị HTTPS khi deploy)</t>
  </si>
  <si>
    <t xml:space="preserve">PERFORMANCE &amp; COMPATIBILITY</t>
  </si>
  <si>
    <t xml:space="preserve">Kiểm thử hiệu năng (Lighthouse) và tương thích trình duyệt. Điền điểm số thực tế sau khi đo.</t>
  </si>
  <si>
    <t xml:space="preserve">Performance (Lighthouse)</t>
  </si>
  <si>
    <t xml:space="preserve">PERF001</t>
  </si>
  <si>
    <t xml:space="preserve">Điểm Performance trang danh sách GV</t>
  </si>
  <si>
    <t xml:space="preserve">1. Mở DevTools → Lighthouse → Analyze trang /teachers</t>
  </si>
  <si>
    <t xml:space="preserve">Performance ≥ 80 (mục tiêu) — đo và ghi nhận điểm thực tế</t>
  </si>
  <si>
    <t xml:space="preserve">PERF002</t>
  </si>
  <si>
    <t xml:space="preserve">Điểm Accessibility</t>
  </si>
  <si>
    <t xml:space="preserve">1. Chạy Lighthouse cho các trang chính</t>
  </si>
  <si>
    <t xml:space="preserve">Accessibility ≥ 90 (mục tiêu)</t>
  </si>
  <si>
    <t xml:space="preserve">PERF003</t>
  </si>
  <si>
    <t xml:space="preserve">Best Practices</t>
  </si>
  <si>
    <t xml:space="preserve">1. Chạy Lighthouse</t>
  </si>
  <si>
    <t xml:space="preserve">Best Practices ≥ 90 (mục tiêu)</t>
  </si>
  <si>
    <t xml:space="preserve">PERF004</t>
  </si>
  <si>
    <t xml:space="preserve">SEO</t>
  </si>
  <si>
    <t xml:space="preserve">SEO ≥ 80 (mục tiêu)</t>
  </si>
  <si>
    <t xml:space="preserve">Performance (Tải dữ liệu)</t>
  </si>
  <si>
    <t xml:space="preserve">PERF005</t>
  </si>
  <si>
    <t xml:space="preserve">Thời gian phản hồi tính tiền dạy</t>
  </si>
  <si>
    <t xml:space="preserve">1. Tính tiền cho GV có nhiều lớp
2. Đo thời gian phản hồi API</t>
  </si>
  <si>
    <t xml:space="preserve">Phản hồi &lt; 2 giây với dữ liệu mẫu</t>
  </si>
  <si>
    <t xml:space="preserve">Compatibility</t>
  </si>
  <si>
    <t xml:space="preserve">COMPAT001</t>
  </si>
  <si>
    <t xml:space="preserve">Hiển thị &amp; chức năng trên Chrome</t>
  </si>
  <si>
    <t xml:space="preserve">1. Chạy bộ chức năng chính trên Chrome bản mới</t>
  </si>
  <si>
    <t xml:space="preserve">Hiển thị đúng, không lỗi layout/chức năng</t>
  </si>
  <si>
    <t xml:space="preserve">COMPAT002</t>
  </si>
  <si>
    <t xml:space="preserve">Trên Microsoft Edge</t>
  </si>
  <si>
    <t xml:space="preserve">1. Chạy bộ chức năng chính trên Edge</t>
  </si>
  <si>
    <t xml:space="preserve">Hiển thị đúng, không lỗi</t>
  </si>
  <si>
    <t xml:space="preserve">COMPAT003</t>
  </si>
  <si>
    <t xml:space="preserve">Trên Firefox</t>
  </si>
  <si>
    <t xml:space="preserve">1. Chạy bộ chức năng chính trên Firefox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</si>
</sst>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Times New Roman"/>
      <family val="0"/>
      <charset val="1"/>
    </font>
    <font>
      <b val="true"/>
      <sz val="11"/>
      <name val="Times New Roman"/>
      <family val="0"/>
      <charset val="1"/>
    </font>
    <font>
      <sz val="11"/>
      <name val="Times New Roman"/>
      <family val="0"/>
      <charset val="1"/>
    </font>
    <font>
      <i val="true"/>
      <sz val="10"/>
      <color rgb="FF595959"/>
      <name val="Times New Roman"/>
      <family val="0"/>
      <charset val="1"/>
    </font>
    <font>
      <i val="true"/>
      <sz val="10"/>
      <color rgb="FFC00000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i val="true"/>
      <sz val="9"/>
      <color rgb="FF808080"/>
      <name val="Times New Roman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C6EFCE"/>
        <bgColor rgb="FFD9E1F2"/>
      </patternFill>
    </fill>
    <fill>
      <patternFill patternType="solid">
        <fgColor rgb="FFF2F2F2"/>
        <bgColor rgb="FFFFFFFF"/>
      </patternFill>
    </fill>
    <fill>
      <patternFill patternType="solid">
        <fgColor rgb="FFFFC7CE"/>
        <bgColor rgb="FFD9E1F2"/>
      </patternFill>
    </fill>
    <fill>
      <patternFill patternType="solid">
        <fgColor rgb="FFFFEB9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10"/>
  </cols>
  <sheetData>
    <row r="2" customFormat="false" ht="17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4" t="s">
        <v>2</v>
      </c>
    </row>
    <row r="5" customFormat="false" ht="15" hidden="false" customHeight="true" outlineLevel="0" collapsed="false">
      <c r="B5" s="4"/>
    </row>
    <row r="6" customFormat="false" ht="15" hidden="false" customHeight="true" outlineLevel="0" collapsed="false">
      <c r="B6" s="4" t="s">
        <v>3</v>
      </c>
    </row>
    <row r="7" customFormat="false" ht="15" hidden="false" customHeight="true" outlineLevel="0" collapsed="false">
      <c r="B7" s="4" t="s">
        <v>4</v>
      </c>
    </row>
    <row r="8" customFormat="false" ht="15" hidden="false" customHeight="true" outlineLevel="0" collapsed="false">
      <c r="B8" s="4" t="s">
        <v>5</v>
      </c>
    </row>
    <row r="9" customFormat="false" ht="15" hidden="false" customHeight="true" outlineLevel="0" collapsed="false">
      <c r="B9" s="4" t="s">
        <v>6</v>
      </c>
    </row>
    <row r="10" customFormat="false" ht="15" hidden="false" customHeight="true" outlineLevel="0" collapsed="false">
      <c r="B10" s="4"/>
    </row>
    <row r="11" customFormat="false" ht="15" hidden="false" customHeight="true" outlineLevel="0" collapsed="false">
      <c r="B11" s="3" t="s">
        <v>7</v>
      </c>
    </row>
    <row r="12" customFormat="false" ht="15" hidden="false" customHeight="true" outlineLevel="0" collapsed="false">
      <c r="B12" s="4" t="s">
        <v>8</v>
      </c>
    </row>
    <row r="13" customFormat="false" ht="15" hidden="false" customHeight="true" outlineLevel="0" collapsed="false">
      <c r="B13" s="4" t="s">
        <v>9</v>
      </c>
    </row>
    <row r="14" customFormat="false" ht="15" hidden="false" customHeight="true" outlineLevel="0" collapsed="false">
      <c r="B14" s="4" t="s">
        <v>10</v>
      </c>
    </row>
    <row r="15" customFormat="false" ht="15" hidden="false" customHeight="true" outlineLevel="0" collapsed="false">
      <c r="B15" s="4" t="s">
        <v>11</v>
      </c>
    </row>
    <row r="16" customFormat="false" ht="15" hidden="false" customHeight="true" outlineLevel="0" collapsed="false">
      <c r="B16" s="4" t="s">
        <v>12</v>
      </c>
    </row>
    <row r="17" customFormat="false" ht="15" hidden="false" customHeight="true" outlineLevel="0" collapsed="false">
      <c r="B17" s="4" t="s">
        <v>13</v>
      </c>
    </row>
    <row r="18" customFormat="false" ht="15" hidden="false" customHeight="true" outlineLevel="0" collapsed="false">
      <c r="B18" s="4"/>
    </row>
    <row r="19" customFormat="false" ht="15" hidden="false" customHeight="true" outlineLevel="0" collapsed="false">
      <c r="B19" s="5" t="s">
        <v>14</v>
      </c>
    </row>
    <row r="20" customFormat="false" ht="15" hidden="false" customHeight="true" outlineLevel="0" collapsed="false">
      <c r="B20" s="6" t="s">
        <v>15</v>
      </c>
    </row>
    <row r="21" customFormat="false" ht="15" hidden="false" customHeight="true" outlineLevel="0" collapsed="false">
      <c r="B21" s="6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60"/>
  </cols>
  <sheetData>
    <row r="2" customFormat="false" ht="17.25" hidden="false" customHeight="true" outlineLevel="0" collapsed="false">
      <c r="B2" s="2" t="s">
        <v>17</v>
      </c>
    </row>
    <row r="4" customFormat="false" ht="15" hidden="false" customHeight="true" outlineLevel="0" collapsed="false">
      <c r="A4" s="7"/>
      <c r="B4" s="7" t="s">
        <v>18</v>
      </c>
      <c r="C4" s="7" t="s">
        <v>19</v>
      </c>
    </row>
    <row r="5" customFormat="false" ht="15" hidden="false" customHeight="true" outlineLevel="0" collapsed="false">
      <c r="B5" s="8" t="s">
        <v>20</v>
      </c>
      <c r="C5" s="8" t="s">
        <v>21</v>
      </c>
    </row>
    <row r="6" customFormat="false" ht="15" hidden="false" customHeight="true" outlineLevel="0" collapsed="false">
      <c r="B6" s="8" t="s">
        <v>22</v>
      </c>
      <c r="C6" s="8" t="s">
        <v>23</v>
      </c>
    </row>
    <row r="7" customFormat="false" ht="15" hidden="false" customHeight="true" outlineLevel="0" collapsed="false">
      <c r="B7" s="8" t="s">
        <v>24</v>
      </c>
      <c r="C7" s="8" t="s">
        <v>25</v>
      </c>
    </row>
    <row r="8" customFormat="false" ht="15" hidden="false" customHeight="true" outlineLevel="0" collapsed="false">
      <c r="B8" s="8" t="s">
        <v>26</v>
      </c>
      <c r="C8" s="8" t="s">
        <v>27</v>
      </c>
    </row>
    <row r="9" customFormat="false" ht="15" hidden="false" customHeight="true" outlineLevel="0" collapsed="false">
      <c r="B9" s="8" t="s">
        <v>28</v>
      </c>
      <c r="C9" s="8" t="s">
        <v>29</v>
      </c>
    </row>
    <row r="10" customFormat="false" ht="15" hidden="false" customHeight="true" outlineLevel="0" collapsed="false">
      <c r="B10" s="8" t="s">
        <v>30</v>
      </c>
      <c r="C10" s="8" t="s">
        <v>31</v>
      </c>
    </row>
    <row r="11" customFormat="false" ht="15" hidden="false" customHeight="true" outlineLevel="0" collapsed="false">
      <c r="B11" s="8" t="s">
        <v>32</v>
      </c>
      <c r="C11" s="8" t="s">
        <v>33</v>
      </c>
    </row>
    <row r="12" customFormat="false" ht="15" hidden="false" customHeight="true" outlineLevel="0" collapsed="false">
      <c r="B12" s="8" t="s">
        <v>34</v>
      </c>
      <c r="C12" s="8" t="s">
        <v>35</v>
      </c>
    </row>
    <row r="13" customFormat="false" ht="15" hidden="false" customHeight="true" outlineLevel="0" collapsed="false">
      <c r="B13" s="8" t="s">
        <v>36</v>
      </c>
      <c r="C13" s="8" t="s">
        <v>37</v>
      </c>
    </row>
    <row r="14" customFormat="false" ht="15" hidden="false" customHeight="true" outlineLevel="0" collapsed="false">
      <c r="B14" s="8" t="s">
        <v>38</v>
      </c>
      <c r="C14" s="8" t="s">
        <v>39</v>
      </c>
    </row>
    <row r="15" customFormat="false" ht="15" hidden="false" customHeight="true" outlineLevel="0" collapsed="false">
      <c r="B15" s="8" t="s">
        <v>40</v>
      </c>
      <c r="C15" s="8" t="s">
        <v>41</v>
      </c>
    </row>
    <row r="16" customFormat="false" ht="15" hidden="false" customHeight="true" outlineLevel="0" collapsed="false">
      <c r="B16" s="8" t="s">
        <v>42</v>
      </c>
      <c r="C16" s="8" t="s">
        <v>43</v>
      </c>
    </row>
    <row r="17" customFormat="false" ht="15" hidden="false" customHeight="true" outlineLevel="0" collapsed="false">
      <c r="B17" s="8" t="s">
        <v>44</v>
      </c>
      <c r="C17" s="8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5" min="3" style="1" width="12"/>
    <col collapsed="false" customWidth="true" hidden="false" outlineLevel="0" max="6" min="6" style="1" width="16"/>
  </cols>
  <sheetData>
    <row r="2" customFormat="false" ht="17.25" hidden="false" customHeight="true" outlineLevel="0" collapsed="false">
      <c r="B2" s="2" t="s">
        <v>46</v>
      </c>
    </row>
    <row r="4" customFormat="false" ht="15" hidden="false" customHeight="true" outlineLevel="0" collapsed="false">
      <c r="B4" s="7" t="s">
        <v>47</v>
      </c>
      <c r="C4" s="7" t="s">
        <v>48</v>
      </c>
      <c r="D4" s="7" t="s">
        <v>49</v>
      </c>
      <c r="E4" s="7" t="s">
        <v>50</v>
      </c>
      <c r="F4" s="7" t="s">
        <v>51</v>
      </c>
    </row>
    <row r="5" customFormat="false" ht="15" hidden="false" customHeight="true" outlineLevel="0" collapsed="false">
      <c r="B5" s="8" t="s">
        <v>52</v>
      </c>
      <c r="C5" s="9" t="n">
        <f aca="false">COUNTA('Functional (Positive)'!$C$8:$C$500)</f>
        <v>25</v>
      </c>
      <c r="D5" s="9" t="n">
        <f aca="false">COUNTIF('Functional (Positive)'!$G$8:$G$500,"Passed")</f>
        <v>25</v>
      </c>
      <c r="E5" s="9" t="n">
        <f aca="false">COUNTIF('Functional (Positive)'!$G$8:$G$500,"Failed")</f>
        <v>0</v>
      </c>
      <c r="F5" s="9" t="n">
        <f aca="false">COUNTIF('Functional (Positive)'!$G$8:$G$500,"Chưa thực thi")</f>
        <v>0</v>
      </c>
    </row>
    <row r="6" customFormat="false" ht="15" hidden="false" customHeight="true" outlineLevel="0" collapsed="false">
      <c r="B6" s="8" t="s">
        <v>53</v>
      </c>
      <c r="C6" s="9" t="n">
        <f aca="false">COUNTA('Validation &amp; Negative'!$C$8:$C$500)</f>
        <v>79</v>
      </c>
      <c r="D6" s="9" t="n">
        <f aca="false">COUNTIF('Validation &amp; Negative'!$G$8:$G$500,"Passed")</f>
        <v>78</v>
      </c>
      <c r="E6" s="9" t="n">
        <f aca="false">COUNTIF('Validation &amp; Negative'!$G$8:$G$500,"Failed")</f>
        <v>1</v>
      </c>
      <c r="F6" s="9" t="n">
        <f aca="false">COUNTIF('Validation &amp; Negative'!$G$8:$G$500,"Chưa thực thi")</f>
        <v>0</v>
      </c>
    </row>
    <row r="7" customFormat="false" ht="15" hidden="false" customHeight="true" outlineLevel="0" collapsed="false">
      <c r="B7" s="8" t="s">
        <v>54</v>
      </c>
      <c r="C7" s="9" t="n">
        <f aca="false">COUNTA('Security Test Cases'!$C$8:$C$500)</f>
        <v>10</v>
      </c>
      <c r="D7" s="9" t="n">
        <f aca="false">COUNTIF('Security Test Cases'!$G$8:$G$500,"Passed")</f>
        <v>0</v>
      </c>
      <c r="E7" s="9" t="n">
        <f aca="false">COUNTIF('Security Test Cases'!$G$8:$G$500,"Failed")</f>
        <v>0</v>
      </c>
      <c r="F7" s="9" t="n">
        <f aca="false">COUNTIF('Security Test Cases'!$G$8:$G$500,"Chưa thực thi")</f>
        <v>10</v>
      </c>
    </row>
    <row r="8" customFormat="false" ht="15" hidden="false" customHeight="true" outlineLevel="0" collapsed="false">
      <c r="B8" s="8" t="s">
        <v>55</v>
      </c>
      <c r="C8" s="9" t="n">
        <f aca="false">COUNTA('Performance &amp; Compatibility'!$C$8:$C$500)</f>
        <v>8</v>
      </c>
      <c r="D8" s="9" t="n">
        <f aca="false">COUNTIF('Performance &amp; Compatibility'!$G$8:$G$500,"Passed")</f>
        <v>0</v>
      </c>
      <c r="E8" s="9" t="n">
        <f aca="false">COUNTIF('Performance &amp; Compatibility'!$G$8:$G$500,"Failed")</f>
        <v>0</v>
      </c>
      <c r="F8" s="9" t="n">
        <f aca="false">COUNTIF('Performance &amp; Compatibility'!$G$8:$G$500,"Chưa thực thi")</f>
        <v>8</v>
      </c>
    </row>
    <row r="9" customFormat="false" ht="15" hidden="false" customHeight="true" outlineLevel="0" collapsed="false">
      <c r="B9" s="8" t="s">
        <v>56</v>
      </c>
      <c r="C9" s="9" t="n">
        <v>6</v>
      </c>
      <c r="D9" s="9" t="n">
        <v>3</v>
      </c>
      <c r="E9" s="9" t="n">
        <v>0</v>
      </c>
      <c r="F9" s="9" t="n">
        <v>3</v>
      </c>
    </row>
    <row r="10" customFormat="false" ht="15" hidden="false" customHeight="true" outlineLevel="0" collapsed="false">
      <c r="B10" s="10" t="s">
        <v>57</v>
      </c>
      <c r="C10" s="11" t="n">
        <f aca="false">SUM(C5:C9)</f>
        <v>128</v>
      </c>
      <c r="D10" s="11" t="n">
        <f aca="false">SUM(D5:D9)</f>
        <v>106</v>
      </c>
      <c r="E10" s="11" t="n">
        <f aca="false">SUM(E5:E9)</f>
        <v>1</v>
      </c>
      <c r="F10" s="11" t="n">
        <f aca="false">SUM(F5:F9)</f>
        <v>21</v>
      </c>
    </row>
    <row r="12" customFormat="false" ht="15" hidden="false" customHeight="true" outlineLevel="0" collapsed="false">
      <c r="B12" s="5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0"/>
    <col collapsed="false" customWidth="true" hidden="false" outlineLevel="0" max="3" min="3" style="1" width="10"/>
    <col collapsed="false" customWidth="true" hidden="false" outlineLevel="0" max="4" min="4" style="1" width="34"/>
    <col collapsed="false" customWidth="true" hidden="false" outlineLevel="0" max="5" min="5" style="1" width="46"/>
    <col collapsed="false" customWidth="true" hidden="false" outlineLevel="0" max="6" min="6" style="1" width="40"/>
    <col collapsed="false" customWidth="true" hidden="false" outlineLevel="0" max="7" min="7" style="1" width="14"/>
  </cols>
  <sheetData>
    <row r="1" customFormat="false" ht="17.25" hidden="false" customHeight="true" outlineLevel="0" collapsed="false">
      <c r="A1" s="2" t="s">
        <v>59</v>
      </c>
    </row>
    <row r="2" customFormat="false" ht="15" hidden="false" customHeight="true" outlineLevel="0" collapsed="false">
      <c r="A2" s="12" t="s">
        <v>60</v>
      </c>
      <c r="B2" s="12"/>
      <c r="C2" s="12"/>
      <c r="D2" s="12"/>
      <c r="E2" s="12"/>
      <c r="F2" s="12"/>
      <c r="G2" s="12"/>
    </row>
    <row r="4" customFormat="false" ht="15" hidden="false" customHeight="true" outlineLevel="0" collapsed="false">
      <c r="A4" s="3" t="s">
        <v>61</v>
      </c>
      <c r="B4" s="4" t="n">
        <f aca="false">COUNTIF($G$8:$G$500,"Passed")</f>
        <v>25</v>
      </c>
      <c r="D4" s="3" t="s">
        <v>62</v>
      </c>
      <c r="E4" s="4" t="n">
        <f aca="false">COUNTA($C$8:$C$500)</f>
        <v>25</v>
      </c>
    </row>
    <row r="5" customFormat="false" ht="15" hidden="false" customHeight="true" outlineLevel="0" collapsed="false">
      <c r="A5" s="3" t="s">
        <v>63</v>
      </c>
      <c r="B5" s="4" t="n">
        <f aca="false">COUNTIF($G$8:$G$500,"Failed")</f>
        <v>0</v>
      </c>
    </row>
    <row r="6" customFormat="false" ht="15" hidden="false" customHeight="true" outlineLevel="0" collapsed="false">
      <c r="A6" s="3" t="s">
        <v>64</v>
      </c>
      <c r="B6" s="4" t="n">
        <f aca="false">COUNTIF($G$8:$G$500,"Chưa thực thi")</f>
        <v>0</v>
      </c>
    </row>
    <row r="7" customFormat="false" ht="15" hidden="false" customHeight="true" outlineLevel="0" collapsed="false">
      <c r="A7" s="7" t="s">
        <v>65</v>
      </c>
      <c r="B7" s="7" t="s">
        <v>66</v>
      </c>
      <c r="C7" s="7" t="s">
        <v>67</v>
      </c>
      <c r="D7" s="7" t="s">
        <v>68</v>
      </c>
      <c r="E7" s="7" t="s">
        <v>69</v>
      </c>
      <c r="F7" s="7" t="s">
        <v>70</v>
      </c>
      <c r="G7" s="7" t="s">
        <v>71</v>
      </c>
    </row>
    <row r="8" customFormat="false" ht="36.75" hidden="false" customHeight="true" outlineLevel="0" collapsed="false">
      <c r="A8" s="9" t="n">
        <v>1</v>
      </c>
      <c r="B8" s="8" t="s">
        <v>72</v>
      </c>
      <c r="C8" s="9" t="s">
        <v>73</v>
      </c>
      <c r="D8" s="8" t="s">
        <v>74</v>
      </c>
      <c r="E8" s="8" t="s">
        <v>75</v>
      </c>
      <c r="F8" s="8" t="s">
        <v>76</v>
      </c>
      <c r="G8" s="13" t="s">
        <v>49</v>
      </c>
    </row>
    <row r="9" customFormat="false" ht="36.75" hidden="false" customHeight="true" outlineLevel="0" collapsed="false">
      <c r="A9" s="9" t="n">
        <v>2</v>
      </c>
      <c r="B9" s="14" t="s">
        <v>72</v>
      </c>
      <c r="C9" s="9" t="s">
        <v>77</v>
      </c>
      <c r="D9" s="14" t="s">
        <v>78</v>
      </c>
      <c r="E9" s="14" t="s">
        <v>79</v>
      </c>
      <c r="F9" s="14" t="s">
        <v>80</v>
      </c>
      <c r="G9" s="13" t="s">
        <v>49</v>
      </c>
    </row>
    <row r="10" customFormat="false" ht="24.75" hidden="false" customHeight="true" outlineLevel="0" collapsed="false">
      <c r="A10" s="9" t="n">
        <v>3</v>
      </c>
      <c r="B10" s="8" t="s">
        <v>72</v>
      </c>
      <c r="C10" s="9" t="s">
        <v>81</v>
      </c>
      <c r="D10" s="8" t="s">
        <v>82</v>
      </c>
      <c r="E10" s="8" t="s">
        <v>83</v>
      </c>
      <c r="F10" s="8" t="s">
        <v>84</v>
      </c>
      <c r="G10" s="13" t="s">
        <v>49</v>
      </c>
    </row>
    <row r="11" customFormat="false" ht="24.75" hidden="false" customHeight="true" outlineLevel="0" collapsed="false">
      <c r="A11" s="9" t="n">
        <v>4</v>
      </c>
      <c r="B11" s="14" t="s">
        <v>72</v>
      </c>
      <c r="C11" s="9" t="s">
        <v>85</v>
      </c>
      <c r="D11" s="14" t="s">
        <v>86</v>
      </c>
      <c r="E11" s="14" t="s">
        <v>87</v>
      </c>
      <c r="F11" s="14" t="s">
        <v>88</v>
      </c>
      <c r="G11" s="13" t="s">
        <v>49</v>
      </c>
    </row>
    <row r="12" customFormat="false" ht="36.75" hidden="false" customHeight="true" outlineLevel="0" collapsed="false">
      <c r="A12" s="9" t="n">
        <v>5</v>
      </c>
      <c r="B12" s="8" t="s">
        <v>89</v>
      </c>
      <c r="C12" s="9" t="s">
        <v>90</v>
      </c>
      <c r="D12" s="8" t="s">
        <v>91</v>
      </c>
      <c r="E12" s="8" t="s">
        <v>92</v>
      </c>
      <c r="F12" s="8" t="s">
        <v>93</v>
      </c>
      <c r="G12" s="13" t="s">
        <v>49</v>
      </c>
    </row>
    <row r="13" customFormat="false" ht="24.75" hidden="false" customHeight="true" outlineLevel="0" collapsed="false">
      <c r="A13" s="9" t="n">
        <v>6</v>
      </c>
      <c r="B13" s="14" t="s">
        <v>89</v>
      </c>
      <c r="C13" s="9" t="s">
        <v>94</v>
      </c>
      <c r="D13" s="14" t="s">
        <v>95</v>
      </c>
      <c r="E13" s="14" t="s">
        <v>96</v>
      </c>
      <c r="F13" s="14" t="s">
        <v>97</v>
      </c>
      <c r="G13" s="13" t="s">
        <v>49</v>
      </c>
    </row>
    <row r="14" customFormat="false" ht="48.75" hidden="false" customHeight="true" outlineLevel="0" collapsed="false">
      <c r="A14" s="9" t="n">
        <v>7</v>
      </c>
      <c r="B14" s="8" t="s">
        <v>98</v>
      </c>
      <c r="C14" s="9" t="s">
        <v>99</v>
      </c>
      <c r="D14" s="8" t="s">
        <v>100</v>
      </c>
      <c r="E14" s="8" t="s">
        <v>101</v>
      </c>
      <c r="F14" s="8" t="s">
        <v>102</v>
      </c>
      <c r="G14" s="13" t="s">
        <v>49</v>
      </c>
    </row>
    <row r="15" customFormat="false" ht="24.75" hidden="false" customHeight="true" outlineLevel="0" collapsed="false">
      <c r="A15" s="9" t="n">
        <v>8</v>
      </c>
      <c r="B15" s="14" t="s">
        <v>98</v>
      </c>
      <c r="C15" s="9" t="s">
        <v>103</v>
      </c>
      <c r="D15" s="14" t="s">
        <v>104</v>
      </c>
      <c r="E15" s="14" t="s">
        <v>105</v>
      </c>
      <c r="F15" s="14" t="s">
        <v>106</v>
      </c>
      <c r="G15" s="13" t="s">
        <v>49</v>
      </c>
    </row>
    <row r="16" customFormat="false" ht="24.75" hidden="false" customHeight="true" outlineLevel="0" collapsed="false">
      <c r="A16" s="9" t="n">
        <v>9</v>
      </c>
      <c r="B16" s="8" t="s">
        <v>98</v>
      </c>
      <c r="C16" s="9" t="s">
        <v>107</v>
      </c>
      <c r="D16" s="8" t="s">
        <v>108</v>
      </c>
      <c r="E16" s="8" t="s">
        <v>109</v>
      </c>
      <c r="F16" s="8" t="s">
        <v>110</v>
      </c>
      <c r="G16" s="13" t="s">
        <v>49</v>
      </c>
    </row>
    <row r="17" customFormat="false" ht="24.75" hidden="false" customHeight="true" outlineLevel="0" collapsed="false">
      <c r="A17" s="9" t="n">
        <v>10</v>
      </c>
      <c r="B17" s="14" t="s">
        <v>98</v>
      </c>
      <c r="C17" s="9" t="s">
        <v>111</v>
      </c>
      <c r="D17" s="14" t="s">
        <v>112</v>
      </c>
      <c r="E17" s="14" t="s">
        <v>113</v>
      </c>
      <c r="F17" s="14" t="s">
        <v>114</v>
      </c>
      <c r="G17" s="13" t="s">
        <v>49</v>
      </c>
    </row>
    <row r="18" customFormat="false" ht="24.75" hidden="false" customHeight="true" outlineLevel="0" collapsed="false">
      <c r="A18" s="9" t="n">
        <v>11</v>
      </c>
      <c r="B18" s="8" t="s">
        <v>115</v>
      </c>
      <c r="C18" s="9" t="s">
        <v>116</v>
      </c>
      <c r="D18" s="8" t="s">
        <v>117</v>
      </c>
      <c r="E18" s="8" t="s">
        <v>118</v>
      </c>
      <c r="F18" s="8" t="s">
        <v>119</v>
      </c>
      <c r="G18" s="13" t="s">
        <v>49</v>
      </c>
    </row>
    <row r="19" customFormat="false" ht="48.75" hidden="false" customHeight="true" outlineLevel="0" collapsed="false">
      <c r="A19" s="9" t="n">
        <v>12</v>
      </c>
      <c r="B19" s="14" t="s">
        <v>120</v>
      </c>
      <c r="C19" s="9" t="s">
        <v>121</v>
      </c>
      <c r="D19" s="14" t="s">
        <v>122</v>
      </c>
      <c r="E19" s="14" t="s">
        <v>123</v>
      </c>
      <c r="F19" s="14" t="s">
        <v>124</v>
      </c>
      <c r="G19" s="13" t="s">
        <v>49</v>
      </c>
    </row>
    <row r="20" customFormat="false" ht="48.75" hidden="false" customHeight="true" outlineLevel="0" collapsed="false">
      <c r="A20" s="9" t="n">
        <v>13</v>
      </c>
      <c r="B20" s="8" t="s">
        <v>125</v>
      </c>
      <c r="C20" s="9" t="s">
        <v>126</v>
      </c>
      <c r="D20" s="8" t="s">
        <v>127</v>
      </c>
      <c r="E20" s="8" t="s">
        <v>128</v>
      </c>
      <c r="F20" s="8" t="s">
        <v>129</v>
      </c>
      <c r="G20" s="13" t="s">
        <v>49</v>
      </c>
    </row>
    <row r="21" customFormat="false" ht="48.75" hidden="false" customHeight="true" outlineLevel="0" collapsed="false">
      <c r="A21" s="9" t="n">
        <v>14</v>
      </c>
      <c r="B21" s="14" t="s">
        <v>130</v>
      </c>
      <c r="C21" s="9" t="s">
        <v>131</v>
      </c>
      <c r="D21" s="14" t="s">
        <v>132</v>
      </c>
      <c r="E21" s="14" t="s">
        <v>133</v>
      </c>
      <c r="F21" s="14" t="s">
        <v>134</v>
      </c>
      <c r="G21" s="13" t="s">
        <v>49</v>
      </c>
    </row>
    <row r="22" customFormat="false" ht="36.75" hidden="false" customHeight="true" outlineLevel="0" collapsed="false">
      <c r="A22" s="9" t="n">
        <v>15</v>
      </c>
      <c r="B22" s="8" t="s">
        <v>135</v>
      </c>
      <c r="C22" s="9" t="s">
        <v>136</v>
      </c>
      <c r="D22" s="8" t="s">
        <v>137</v>
      </c>
      <c r="E22" s="8" t="s">
        <v>138</v>
      </c>
      <c r="F22" s="8" t="s">
        <v>139</v>
      </c>
      <c r="G22" s="13" t="s">
        <v>49</v>
      </c>
    </row>
    <row r="23" customFormat="false" ht="24.75" hidden="false" customHeight="true" outlineLevel="0" collapsed="false">
      <c r="A23" s="9" t="n">
        <v>16</v>
      </c>
      <c r="B23" s="14" t="s">
        <v>135</v>
      </c>
      <c r="C23" s="9" t="s">
        <v>140</v>
      </c>
      <c r="D23" s="14" t="s">
        <v>141</v>
      </c>
      <c r="E23" s="14" t="s">
        <v>142</v>
      </c>
      <c r="F23" s="14" t="s">
        <v>143</v>
      </c>
      <c r="G23" s="13" t="s">
        <v>49</v>
      </c>
    </row>
    <row r="24" customFormat="false" ht="24.75" hidden="false" customHeight="true" outlineLevel="0" collapsed="false">
      <c r="A24" s="9" t="n">
        <v>17</v>
      </c>
      <c r="B24" s="8" t="s">
        <v>144</v>
      </c>
      <c r="C24" s="9" t="s">
        <v>145</v>
      </c>
      <c r="D24" s="8" t="s">
        <v>146</v>
      </c>
      <c r="E24" s="8" t="s">
        <v>147</v>
      </c>
      <c r="F24" s="8" t="s">
        <v>148</v>
      </c>
      <c r="G24" s="13" t="s">
        <v>49</v>
      </c>
    </row>
    <row r="25" customFormat="false" ht="36.75" hidden="false" customHeight="true" outlineLevel="0" collapsed="false">
      <c r="A25" s="9" t="n">
        <v>18</v>
      </c>
      <c r="B25" s="14" t="s">
        <v>149</v>
      </c>
      <c r="C25" s="9" t="s">
        <v>150</v>
      </c>
      <c r="D25" s="14" t="s">
        <v>151</v>
      </c>
      <c r="E25" s="14" t="s">
        <v>152</v>
      </c>
      <c r="F25" s="14" t="s">
        <v>153</v>
      </c>
      <c r="G25" s="13" t="s">
        <v>49</v>
      </c>
    </row>
    <row r="26" customFormat="false" ht="36.75" hidden="false" customHeight="true" outlineLevel="0" collapsed="false">
      <c r="A26" s="9" t="n">
        <v>19</v>
      </c>
      <c r="B26" s="8" t="s">
        <v>154</v>
      </c>
      <c r="C26" s="9" t="s">
        <v>155</v>
      </c>
      <c r="D26" s="8" t="s">
        <v>156</v>
      </c>
      <c r="E26" s="8" t="s">
        <v>157</v>
      </c>
      <c r="F26" s="8" t="s">
        <v>158</v>
      </c>
      <c r="G26" s="13" t="s">
        <v>49</v>
      </c>
    </row>
    <row r="27" customFormat="false" ht="36.75" hidden="false" customHeight="true" outlineLevel="0" collapsed="false">
      <c r="A27" s="9" t="n">
        <v>20</v>
      </c>
      <c r="B27" s="14" t="s">
        <v>154</v>
      </c>
      <c r="C27" s="9" t="s">
        <v>159</v>
      </c>
      <c r="D27" s="14" t="s">
        <v>160</v>
      </c>
      <c r="E27" s="14" t="s">
        <v>161</v>
      </c>
      <c r="F27" s="14" t="s">
        <v>162</v>
      </c>
      <c r="G27" s="13" t="s">
        <v>49</v>
      </c>
    </row>
    <row r="28" customFormat="false" ht="36.75" hidden="false" customHeight="true" outlineLevel="0" collapsed="false">
      <c r="A28" s="9" t="n">
        <v>21</v>
      </c>
      <c r="B28" s="8" t="s">
        <v>163</v>
      </c>
      <c r="C28" s="9" t="s">
        <v>164</v>
      </c>
      <c r="D28" s="8" t="s">
        <v>165</v>
      </c>
      <c r="E28" s="8" t="s">
        <v>166</v>
      </c>
      <c r="F28" s="8" t="s">
        <v>167</v>
      </c>
      <c r="G28" s="13" t="s">
        <v>49</v>
      </c>
    </row>
    <row r="29" customFormat="false" ht="24.75" hidden="false" customHeight="true" outlineLevel="0" collapsed="false">
      <c r="A29" s="9" t="n">
        <v>22</v>
      </c>
      <c r="B29" s="14" t="s">
        <v>168</v>
      </c>
      <c r="C29" s="9" t="s">
        <v>169</v>
      </c>
      <c r="D29" s="14" t="s">
        <v>170</v>
      </c>
      <c r="E29" s="14" t="s">
        <v>171</v>
      </c>
      <c r="F29" s="14" t="s">
        <v>172</v>
      </c>
      <c r="G29" s="13" t="s">
        <v>49</v>
      </c>
    </row>
    <row r="30" customFormat="false" ht="36.75" hidden="false" customHeight="true" outlineLevel="0" collapsed="false">
      <c r="A30" s="9" t="n">
        <v>23</v>
      </c>
      <c r="B30" s="8" t="s">
        <v>173</v>
      </c>
      <c r="C30" s="9" t="s">
        <v>174</v>
      </c>
      <c r="D30" s="8" t="s">
        <v>175</v>
      </c>
      <c r="E30" s="8" t="s">
        <v>176</v>
      </c>
      <c r="F30" s="8" t="s">
        <v>177</v>
      </c>
      <c r="G30" s="13" t="s">
        <v>49</v>
      </c>
    </row>
    <row r="31" customFormat="false" ht="24.75" hidden="false" customHeight="true" outlineLevel="0" collapsed="false">
      <c r="A31" s="9" t="n">
        <v>24</v>
      </c>
      <c r="B31" s="14" t="s">
        <v>178</v>
      </c>
      <c r="C31" s="9" t="s">
        <v>179</v>
      </c>
      <c r="D31" s="14" t="s">
        <v>180</v>
      </c>
      <c r="E31" s="14" t="s">
        <v>181</v>
      </c>
      <c r="F31" s="14" t="s">
        <v>182</v>
      </c>
      <c r="G31" s="13" t="s">
        <v>49</v>
      </c>
    </row>
    <row r="32" customFormat="false" ht="36.75" hidden="false" customHeight="true" outlineLevel="0" collapsed="false">
      <c r="A32" s="9" t="n">
        <v>25</v>
      </c>
      <c r="B32" s="8" t="s">
        <v>183</v>
      </c>
      <c r="C32" s="9" t="s">
        <v>184</v>
      </c>
      <c r="D32" s="8" t="s">
        <v>185</v>
      </c>
      <c r="E32" s="8" t="s">
        <v>186</v>
      </c>
      <c r="F32" s="8" t="s">
        <v>187</v>
      </c>
      <c r="G32" s="13" t="s">
        <v>49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0"/>
    <col collapsed="false" customWidth="true" hidden="false" outlineLevel="0" max="3" min="3" style="1" width="10"/>
    <col collapsed="false" customWidth="true" hidden="false" outlineLevel="0" max="4" min="4" style="1" width="34"/>
    <col collapsed="false" customWidth="true" hidden="false" outlineLevel="0" max="5" min="5" style="1" width="46"/>
    <col collapsed="false" customWidth="true" hidden="false" outlineLevel="0" max="6" min="6" style="1" width="40"/>
    <col collapsed="false" customWidth="true" hidden="false" outlineLevel="0" max="7" min="7" style="1" width="14"/>
  </cols>
  <sheetData>
    <row r="1" customFormat="false" ht="17.25" hidden="false" customHeight="true" outlineLevel="0" collapsed="false">
      <c r="A1" s="2" t="s">
        <v>188</v>
      </c>
    </row>
    <row r="2" customFormat="false" ht="15" hidden="false" customHeight="true" outlineLevel="0" collapsed="false">
      <c r="A2" s="12" t="s">
        <v>189</v>
      </c>
      <c r="B2" s="12"/>
      <c r="C2" s="12"/>
      <c r="D2" s="12"/>
      <c r="E2" s="12"/>
      <c r="F2" s="12"/>
      <c r="G2" s="12"/>
    </row>
    <row r="4" customFormat="false" ht="15" hidden="false" customHeight="true" outlineLevel="0" collapsed="false">
      <c r="A4" s="3" t="s">
        <v>61</v>
      </c>
      <c r="B4" s="4" t="n">
        <f aca="false">COUNTIF($G$8:$G$500,"Passed")</f>
        <v>78</v>
      </c>
      <c r="D4" s="3" t="s">
        <v>62</v>
      </c>
      <c r="E4" s="4" t="n">
        <f aca="false">COUNTA($C$8:$C$500)</f>
        <v>79</v>
      </c>
    </row>
    <row r="5" customFormat="false" ht="15" hidden="false" customHeight="true" outlineLevel="0" collapsed="false">
      <c r="A5" s="3" t="s">
        <v>63</v>
      </c>
      <c r="B5" s="4" t="n">
        <f aca="false">COUNTIF($G$8:$G$500,"Failed")</f>
        <v>1</v>
      </c>
    </row>
    <row r="6" customFormat="false" ht="15" hidden="false" customHeight="true" outlineLevel="0" collapsed="false">
      <c r="A6" s="3" t="s">
        <v>64</v>
      </c>
      <c r="B6" s="4" t="n">
        <f aca="false">COUNTIF($G$8:$G$500,"Chưa thực thi")</f>
        <v>0</v>
      </c>
    </row>
    <row r="7" customFormat="false" ht="15" hidden="false" customHeight="true" outlineLevel="0" collapsed="false">
      <c r="A7" s="7" t="s">
        <v>65</v>
      </c>
      <c r="B7" s="7" t="s">
        <v>66</v>
      </c>
      <c r="C7" s="7" t="s">
        <v>67</v>
      </c>
      <c r="D7" s="7" t="s">
        <v>68</v>
      </c>
      <c r="E7" s="7" t="s">
        <v>69</v>
      </c>
      <c r="F7" s="7" t="s">
        <v>70</v>
      </c>
      <c r="G7" s="7" t="s">
        <v>71</v>
      </c>
    </row>
    <row r="8" customFormat="false" ht="24.75" hidden="false" customHeight="true" outlineLevel="0" collapsed="false">
      <c r="A8" s="9" t="n">
        <v>1</v>
      </c>
      <c r="B8" s="8" t="s">
        <v>72</v>
      </c>
      <c r="C8" s="9" t="s">
        <v>190</v>
      </c>
      <c r="D8" s="8" t="s">
        <v>191</v>
      </c>
      <c r="E8" s="8" t="s">
        <v>192</v>
      </c>
      <c r="F8" s="8" t="s">
        <v>193</v>
      </c>
      <c r="G8" s="13" t="s">
        <v>49</v>
      </c>
    </row>
    <row r="9" customFormat="false" ht="24.75" hidden="false" customHeight="true" outlineLevel="0" collapsed="false">
      <c r="A9" s="9" t="n">
        <v>2</v>
      </c>
      <c r="B9" s="14" t="s">
        <v>72</v>
      </c>
      <c r="C9" s="9" t="s">
        <v>194</v>
      </c>
      <c r="D9" s="14" t="s">
        <v>195</v>
      </c>
      <c r="E9" s="14" t="s">
        <v>196</v>
      </c>
      <c r="F9" s="14" t="s">
        <v>197</v>
      </c>
      <c r="G9" s="13" t="s">
        <v>49</v>
      </c>
    </row>
    <row r="10" customFormat="false" ht="24.75" hidden="false" customHeight="true" outlineLevel="0" collapsed="false">
      <c r="A10" s="9" t="n">
        <v>3</v>
      </c>
      <c r="B10" s="8" t="s">
        <v>72</v>
      </c>
      <c r="C10" s="9" t="s">
        <v>198</v>
      </c>
      <c r="D10" s="8" t="s">
        <v>199</v>
      </c>
      <c r="E10" s="8" t="s">
        <v>200</v>
      </c>
      <c r="F10" s="8" t="s">
        <v>201</v>
      </c>
      <c r="G10" s="13" t="s">
        <v>49</v>
      </c>
    </row>
    <row r="11" customFormat="false" ht="15" hidden="false" customHeight="true" outlineLevel="0" collapsed="false">
      <c r="A11" s="9" t="n">
        <v>4</v>
      </c>
      <c r="B11" s="14" t="s">
        <v>72</v>
      </c>
      <c r="C11" s="9" t="s">
        <v>202</v>
      </c>
      <c r="D11" s="14" t="s">
        <v>203</v>
      </c>
      <c r="E11" s="14" t="s">
        <v>204</v>
      </c>
      <c r="F11" s="14" t="s">
        <v>205</v>
      </c>
      <c r="G11" s="13" t="s">
        <v>49</v>
      </c>
    </row>
    <row r="12" customFormat="false" ht="24.75" hidden="false" customHeight="true" outlineLevel="0" collapsed="false">
      <c r="A12" s="9" t="n">
        <v>5</v>
      </c>
      <c r="B12" s="8" t="s">
        <v>72</v>
      </c>
      <c r="C12" s="9" t="s">
        <v>206</v>
      </c>
      <c r="D12" s="8" t="s">
        <v>207</v>
      </c>
      <c r="E12" s="8" t="s">
        <v>208</v>
      </c>
      <c r="F12" s="8" t="s">
        <v>209</v>
      </c>
      <c r="G12" s="13" t="s">
        <v>49</v>
      </c>
    </row>
    <row r="13" customFormat="false" ht="24.75" hidden="false" customHeight="true" outlineLevel="0" collapsed="false">
      <c r="A13" s="9" t="n">
        <v>6</v>
      </c>
      <c r="B13" s="14" t="s">
        <v>72</v>
      </c>
      <c r="C13" s="9" t="s">
        <v>210</v>
      </c>
      <c r="D13" s="14" t="s">
        <v>211</v>
      </c>
      <c r="E13" s="14" t="s">
        <v>212</v>
      </c>
      <c r="F13" s="14" t="s">
        <v>213</v>
      </c>
      <c r="G13" s="13" t="s">
        <v>49</v>
      </c>
    </row>
    <row r="14" customFormat="false" ht="15" hidden="false" customHeight="true" outlineLevel="0" collapsed="false">
      <c r="A14" s="9" t="n">
        <v>7</v>
      </c>
      <c r="B14" s="8" t="s">
        <v>72</v>
      </c>
      <c r="C14" s="9" t="s">
        <v>214</v>
      </c>
      <c r="D14" s="8" t="s">
        <v>215</v>
      </c>
      <c r="E14" s="8" t="s">
        <v>216</v>
      </c>
      <c r="F14" s="8" t="s">
        <v>217</v>
      </c>
      <c r="G14" s="13" t="s">
        <v>49</v>
      </c>
    </row>
    <row r="15" customFormat="false" ht="15" hidden="false" customHeight="true" outlineLevel="0" collapsed="false">
      <c r="A15" s="9" t="n">
        <v>8</v>
      </c>
      <c r="B15" s="14" t="s">
        <v>72</v>
      </c>
      <c r="C15" s="9" t="s">
        <v>218</v>
      </c>
      <c r="D15" s="14" t="s">
        <v>219</v>
      </c>
      <c r="E15" s="14" t="s">
        <v>220</v>
      </c>
      <c r="F15" s="14" t="s">
        <v>221</v>
      </c>
      <c r="G15" s="15" t="s">
        <v>50</v>
      </c>
    </row>
    <row r="16" customFormat="false" ht="15" hidden="false" customHeight="true" outlineLevel="0" collapsed="false">
      <c r="A16" s="9" t="n">
        <v>9</v>
      </c>
      <c r="B16" s="8" t="s">
        <v>72</v>
      </c>
      <c r="C16" s="9" t="s">
        <v>222</v>
      </c>
      <c r="D16" s="8" t="s">
        <v>223</v>
      </c>
      <c r="E16" s="8" t="s">
        <v>224</v>
      </c>
      <c r="F16" s="8" t="s">
        <v>225</v>
      </c>
      <c r="G16" s="13" t="s">
        <v>49</v>
      </c>
    </row>
    <row r="17" customFormat="false" ht="24.75" hidden="false" customHeight="true" outlineLevel="0" collapsed="false">
      <c r="A17" s="9" t="n">
        <v>10</v>
      </c>
      <c r="B17" s="14" t="s">
        <v>72</v>
      </c>
      <c r="C17" s="9" t="s">
        <v>226</v>
      </c>
      <c r="D17" s="14" t="s">
        <v>227</v>
      </c>
      <c r="E17" s="14" t="s">
        <v>228</v>
      </c>
      <c r="F17" s="14" t="s">
        <v>229</v>
      </c>
      <c r="G17" s="13" t="s">
        <v>49</v>
      </c>
    </row>
    <row r="18" customFormat="false" ht="15" hidden="false" customHeight="true" outlineLevel="0" collapsed="false">
      <c r="A18" s="9" t="n">
        <v>11</v>
      </c>
      <c r="B18" s="8" t="s">
        <v>72</v>
      </c>
      <c r="C18" s="9" t="s">
        <v>230</v>
      </c>
      <c r="D18" s="8" t="s">
        <v>231</v>
      </c>
      <c r="E18" s="8" t="s">
        <v>232</v>
      </c>
      <c r="F18" s="8" t="s">
        <v>233</v>
      </c>
      <c r="G18" s="13" t="s">
        <v>49</v>
      </c>
    </row>
    <row r="19" customFormat="false" ht="15" hidden="false" customHeight="true" outlineLevel="0" collapsed="false">
      <c r="A19" s="9" t="n">
        <v>12</v>
      </c>
      <c r="B19" s="14" t="s">
        <v>72</v>
      </c>
      <c r="C19" s="9" t="s">
        <v>234</v>
      </c>
      <c r="D19" s="14" t="s">
        <v>235</v>
      </c>
      <c r="E19" s="14" t="s">
        <v>236</v>
      </c>
      <c r="F19" s="14" t="s">
        <v>237</v>
      </c>
      <c r="G19" s="13" t="s">
        <v>49</v>
      </c>
    </row>
    <row r="20" customFormat="false" ht="15" hidden="false" customHeight="true" outlineLevel="0" collapsed="false">
      <c r="A20" s="9" t="n">
        <v>13</v>
      </c>
      <c r="B20" s="8" t="s">
        <v>72</v>
      </c>
      <c r="C20" s="9" t="s">
        <v>238</v>
      </c>
      <c r="D20" s="8" t="s">
        <v>239</v>
      </c>
      <c r="E20" s="8" t="s">
        <v>240</v>
      </c>
      <c r="F20" s="8" t="s">
        <v>241</v>
      </c>
      <c r="G20" s="13" t="s">
        <v>49</v>
      </c>
    </row>
    <row r="21" customFormat="false" ht="15" hidden="false" customHeight="true" outlineLevel="0" collapsed="false">
      <c r="A21" s="9" t="n">
        <v>14</v>
      </c>
      <c r="B21" s="14" t="s">
        <v>72</v>
      </c>
      <c r="C21" s="9" t="s">
        <v>242</v>
      </c>
      <c r="D21" s="14" t="s">
        <v>243</v>
      </c>
      <c r="E21" s="14" t="s">
        <v>244</v>
      </c>
      <c r="F21" s="14" t="s">
        <v>245</v>
      </c>
      <c r="G21" s="13" t="s">
        <v>49</v>
      </c>
    </row>
    <row r="22" customFormat="false" ht="24.75" hidden="false" customHeight="true" outlineLevel="0" collapsed="false">
      <c r="A22" s="9" t="n">
        <v>15</v>
      </c>
      <c r="B22" s="8" t="s">
        <v>89</v>
      </c>
      <c r="C22" s="9" t="s">
        <v>246</v>
      </c>
      <c r="D22" s="8" t="s">
        <v>247</v>
      </c>
      <c r="E22" s="8" t="s">
        <v>248</v>
      </c>
      <c r="F22" s="8" t="s">
        <v>249</v>
      </c>
      <c r="G22" s="13" t="s">
        <v>49</v>
      </c>
    </row>
    <row r="23" customFormat="false" ht="24.75" hidden="false" customHeight="true" outlineLevel="0" collapsed="false">
      <c r="A23" s="9" t="n">
        <v>16</v>
      </c>
      <c r="B23" s="14" t="s">
        <v>89</v>
      </c>
      <c r="C23" s="9" t="s">
        <v>250</v>
      </c>
      <c r="D23" s="14" t="s">
        <v>251</v>
      </c>
      <c r="E23" s="14" t="s">
        <v>252</v>
      </c>
      <c r="F23" s="14" t="s">
        <v>209</v>
      </c>
      <c r="G23" s="13" t="s">
        <v>49</v>
      </c>
    </row>
    <row r="24" customFormat="false" ht="15" hidden="false" customHeight="true" outlineLevel="0" collapsed="false">
      <c r="A24" s="9" t="n">
        <v>17</v>
      </c>
      <c r="B24" s="8" t="s">
        <v>89</v>
      </c>
      <c r="C24" s="9" t="s">
        <v>253</v>
      </c>
      <c r="D24" s="8" t="s">
        <v>254</v>
      </c>
      <c r="E24" s="8" t="s">
        <v>255</v>
      </c>
      <c r="F24" s="8" t="s">
        <v>256</v>
      </c>
      <c r="G24" s="13" t="s">
        <v>49</v>
      </c>
    </row>
    <row r="25" customFormat="false" ht="15" hidden="false" customHeight="true" outlineLevel="0" collapsed="false">
      <c r="A25" s="9" t="n">
        <v>18</v>
      </c>
      <c r="B25" s="14" t="s">
        <v>89</v>
      </c>
      <c r="C25" s="9" t="s">
        <v>257</v>
      </c>
      <c r="D25" s="14" t="s">
        <v>258</v>
      </c>
      <c r="E25" s="14" t="s">
        <v>259</v>
      </c>
      <c r="F25" s="14" t="s">
        <v>209</v>
      </c>
      <c r="G25" s="13" t="s">
        <v>49</v>
      </c>
    </row>
    <row r="26" customFormat="false" ht="15" hidden="false" customHeight="true" outlineLevel="0" collapsed="false">
      <c r="A26" s="9" t="n">
        <v>19</v>
      </c>
      <c r="B26" s="8" t="s">
        <v>89</v>
      </c>
      <c r="C26" s="9" t="s">
        <v>260</v>
      </c>
      <c r="D26" s="8" t="s">
        <v>261</v>
      </c>
      <c r="E26" s="8" t="s">
        <v>262</v>
      </c>
      <c r="F26" s="8" t="s">
        <v>263</v>
      </c>
      <c r="G26" s="13" t="s">
        <v>49</v>
      </c>
    </row>
    <row r="27" customFormat="false" ht="15" hidden="false" customHeight="true" outlineLevel="0" collapsed="false">
      <c r="A27" s="9" t="n">
        <v>20</v>
      </c>
      <c r="B27" s="14" t="s">
        <v>89</v>
      </c>
      <c r="C27" s="9" t="s">
        <v>264</v>
      </c>
      <c r="D27" s="14" t="s">
        <v>265</v>
      </c>
      <c r="E27" s="14" t="s">
        <v>266</v>
      </c>
      <c r="F27" s="14" t="s">
        <v>267</v>
      </c>
      <c r="G27" s="13" t="s">
        <v>49</v>
      </c>
    </row>
    <row r="28" customFormat="false" ht="15" hidden="false" customHeight="true" outlineLevel="0" collapsed="false">
      <c r="A28" s="9" t="n">
        <v>21</v>
      </c>
      <c r="B28" s="8" t="s">
        <v>89</v>
      </c>
      <c r="C28" s="9" t="s">
        <v>268</v>
      </c>
      <c r="D28" s="8" t="s">
        <v>269</v>
      </c>
      <c r="E28" s="8" t="s">
        <v>232</v>
      </c>
      <c r="F28" s="8" t="s">
        <v>233</v>
      </c>
      <c r="G28" s="13" t="s">
        <v>49</v>
      </c>
    </row>
    <row r="29" customFormat="false" ht="15" hidden="false" customHeight="true" outlineLevel="0" collapsed="false">
      <c r="A29" s="9" t="n">
        <v>22</v>
      </c>
      <c r="B29" s="14" t="s">
        <v>89</v>
      </c>
      <c r="C29" s="9" t="s">
        <v>270</v>
      </c>
      <c r="D29" s="14" t="s">
        <v>271</v>
      </c>
      <c r="E29" s="14" t="s">
        <v>272</v>
      </c>
      <c r="F29" s="14" t="s">
        <v>229</v>
      </c>
      <c r="G29" s="13" t="s">
        <v>49</v>
      </c>
    </row>
    <row r="30" customFormat="false" ht="15" hidden="false" customHeight="true" outlineLevel="0" collapsed="false">
      <c r="A30" s="9" t="n">
        <v>23</v>
      </c>
      <c r="B30" s="8" t="s">
        <v>89</v>
      </c>
      <c r="C30" s="9" t="s">
        <v>273</v>
      </c>
      <c r="D30" s="8" t="s">
        <v>274</v>
      </c>
      <c r="E30" s="8" t="s">
        <v>240</v>
      </c>
      <c r="F30" s="8" t="s">
        <v>275</v>
      </c>
      <c r="G30" s="13" t="s">
        <v>49</v>
      </c>
    </row>
    <row r="31" customFormat="false" ht="24.75" hidden="false" customHeight="true" outlineLevel="0" collapsed="false">
      <c r="A31" s="9" t="n">
        <v>24</v>
      </c>
      <c r="B31" s="14" t="s">
        <v>98</v>
      </c>
      <c r="C31" s="9" t="s">
        <v>276</v>
      </c>
      <c r="D31" s="14" t="s">
        <v>277</v>
      </c>
      <c r="E31" s="14" t="s">
        <v>278</v>
      </c>
      <c r="F31" s="14" t="s">
        <v>279</v>
      </c>
      <c r="G31" s="13" t="s">
        <v>49</v>
      </c>
    </row>
    <row r="32" customFormat="false" ht="15" hidden="false" customHeight="true" outlineLevel="0" collapsed="false">
      <c r="A32" s="9" t="n">
        <v>25</v>
      </c>
      <c r="B32" s="8" t="s">
        <v>98</v>
      </c>
      <c r="C32" s="9" t="s">
        <v>280</v>
      </c>
      <c r="D32" s="8" t="s">
        <v>281</v>
      </c>
      <c r="E32" s="8" t="s">
        <v>282</v>
      </c>
      <c r="F32" s="8" t="s">
        <v>283</v>
      </c>
      <c r="G32" s="13" t="s">
        <v>49</v>
      </c>
    </row>
    <row r="33" customFormat="false" ht="15" hidden="false" customHeight="true" outlineLevel="0" collapsed="false">
      <c r="A33" s="9" t="n">
        <v>26</v>
      </c>
      <c r="B33" s="14" t="s">
        <v>98</v>
      </c>
      <c r="C33" s="9" t="s">
        <v>284</v>
      </c>
      <c r="D33" s="14" t="s">
        <v>285</v>
      </c>
      <c r="E33" s="14" t="s">
        <v>286</v>
      </c>
      <c r="F33" s="14" t="s">
        <v>287</v>
      </c>
      <c r="G33" s="13" t="s">
        <v>49</v>
      </c>
    </row>
    <row r="34" customFormat="false" ht="15" hidden="false" customHeight="true" outlineLevel="0" collapsed="false">
      <c r="A34" s="9" t="n">
        <v>27</v>
      </c>
      <c r="B34" s="8" t="s">
        <v>98</v>
      </c>
      <c r="C34" s="9" t="s">
        <v>288</v>
      </c>
      <c r="D34" s="8" t="s">
        <v>289</v>
      </c>
      <c r="E34" s="8" t="s">
        <v>290</v>
      </c>
      <c r="F34" s="8" t="s">
        <v>291</v>
      </c>
      <c r="G34" s="13" t="s">
        <v>49</v>
      </c>
    </row>
    <row r="35" customFormat="false" ht="15" hidden="false" customHeight="true" outlineLevel="0" collapsed="false">
      <c r="A35" s="9" t="n">
        <v>28</v>
      </c>
      <c r="B35" s="14" t="s">
        <v>98</v>
      </c>
      <c r="C35" s="9" t="s">
        <v>292</v>
      </c>
      <c r="D35" s="14" t="s">
        <v>293</v>
      </c>
      <c r="E35" s="14" t="s">
        <v>294</v>
      </c>
      <c r="F35" s="14" t="s">
        <v>295</v>
      </c>
      <c r="G35" s="13" t="s">
        <v>49</v>
      </c>
    </row>
    <row r="36" customFormat="false" ht="15" hidden="false" customHeight="true" outlineLevel="0" collapsed="false">
      <c r="A36" s="9" t="n">
        <v>29</v>
      </c>
      <c r="B36" s="8" t="s">
        <v>98</v>
      </c>
      <c r="C36" s="9" t="s">
        <v>296</v>
      </c>
      <c r="D36" s="8" t="s">
        <v>297</v>
      </c>
      <c r="E36" s="8" t="s">
        <v>298</v>
      </c>
      <c r="F36" s="8" t="s">
        <v>299</v>
      </c>
      <c r="G36" s="13" t="s">
        <v>49</v>
      </c>
    </row>
    <row r="37" customFormat="false" ht="15" hidden="false" customHeight="true" outlineLevel="0" collapsed="false">
      <c r="A37" s="9" t="n">
        <v>30</v>
      </c>
      <c r="B37" s="14" t="s">
        <v>98</v>
      </c>
      <c r="C37" s="9" t="s">
        <v>300</v>
      </c>
      <c r="D37" s="14" t="s">
        <v>301</v>
      </c>
      <c r="E37" s="14" t="s">
        <v>302</v>
      </c>
      <c r="F37" s="14" t="s">
        <v>303</v>
      </c>
      <c r="G37" s="13" t="s">
        <v>49</v>
      </c>
    </row>
    <row r="38" customFormat="false" ht="15" hidden="false" customHeight="true" outlineLevel="0" collapsed="false">
      <c r="A38" s="9" t="n">
        <v>31</v>
      </c>
      <c r="B38" s="8" t="s">
        <v>98</v>
      </c>
      <c r="C38" s="9" t="s">
        <v>304</v>
      </c>
      <c r="D38" s="8" t="s">
        <v>305</v>
      </c>
      <c r="E38" s="8" t="s">
        <v>306</v>
      </c>
      <c r="F38" s="8" t="s">
        <v>233</v>
      </c>
      <c r="G38" s="13" t="s">
        <v>49</v>
      </c>
    </row>
    <row r="39" customFormat="false" ht="15" hidden="false" customHeight="true" outlineLevel="0" collapsed="false">
      <c r="A39" s="9" t="n">
        <v>32</v>
      </c>
      <c r="B39" s="14" t="s">
        <v>98</v>
      </c>
      <c r="C39" s="9" t="s">
        <v>307</v>
      </c>
      <c r="D39" s="14" t="s">
        <v>308</v>
      </c>
      <c r="E39" s="14" t="s">
        <v>240</v>
      </c>
      <c r="F39" s="14" t="s">
        <v>309</v>
      </c>
      <c r="G39" s="13" t="s">
        <v>49</v>
      </c>
    </row>
    <row r="40" customFormat="false" ht="24.75" hidden="false" customHeight="true" outlineLevel="0" collapsed="false">
      <c r="A40" s="9" t="n">
        <v>33</v>
      </c>
      <c r="B40" s="8" t="s">
        <v>115</v>
      </c>
      <c r="C40" s="9" t="s">
        <v>310</v>
      </c>
      <c r="D40" s="8" t="s">
        <v>311</v>
      </c>
      <c r="E40" s="8" t="s">
        <v>312</v>
      </c>
      <c r="F40" s="8" t="s">
        <v>313</v>
      </c>
      <c r="G40" s="13" t="s">
        <v>49</v>
      </c>
    </row>
    <row r="41" customFormat="false" ht="24.75" hidden="false" customHeight="true" outlineLevel="0" collapsed="false">
      <c r="A41" s="9" t="n">
        <v>34</v>
      </c>
      <c r="B41" s="14" t="s">
        <v>115</v>
      </c>
      <c r="C41" s="9" t="s">
        <v>314</v>
      </c>
      <c r="D41" s="14" t="s">
        <v>315</v>
      </c>
      <c r="E41" s="14" t="s">
        <v>316</v>
      </c>
      <c r="F41" s="14" t="s">
        <v>317</v>
      </c>
      <c r="G41" s="13" t="s">
        <v>49</v>
      </c>
    </row>
    <row r="42" customFormat="false" ht="24.75" hidden="false" customHeight="true" outlineLevel="0" collapsed="false">
      <c r="A42" s="9" t="n">
        <v>35</v>
      </c>
      <c r="B42" s="8" t="s">
        <v>115</v>
      </c>
      <c r="C42" s="9" t="s">
        <v>318</v>
      </c>
      <c r="D42" s="8" t="s">
        <v>319</v>
      </c>
      <c r="E42" s="8" t="s">
        <v>320</v>
      </c>
      <c r="F42" s="8" t="s">
        <v>313</v>
      </c>
      <c r="G42" s="13" t="s">
        <v>49</v>
      </c>
    </row>
    <row r="43" customFormat="false" ht="24.75" hidden="false" customHeight="true" outlineLevel="0" collapsed="false">
      <c r="A43" s="9" t="n">
        <v>36</v>
      </c>
      <c r="B43" s="14" t="s">
        <v>120</v>
      </c>
      <c r="C43" s="9" t="s">
        <v>321</v>
      </c>
      <c r="D43" s="14" t="s">
        <v>322</v>
      </c>
      <c r="E43" s="14" t="s">
        <v>323</v>
      </c>
      <c r="F43" s="14" t="s">
        <v>324</v>
      </c>
      <c r="G43" s="13" t="s">
        <v>49</v>
      </c>
    </row>
    <row r="44" customFormat="false" ht="15" hidden="false" customHeight="true" outlineLevel="0" collapsed="false">
      <c r="A44" s="9" t="n">
        <v>37</v>
      </c>
      <c r="B44" s="8" t="s">
        <v>120</v>
      </c>
      <c r="C44" s="9" t="s">
        <v>325</v>
      </c>
      <c r="D44" s="8" t="s">
        <v>326</v>
      </c>
      <c r="E44" s="8" t="s">
        <v>327</v>
      </c>
      <c r="F44" s="8" t="s">
        <v>328</v>
      </c>
      <c r="G44" s="13" t="s">
        <v>49</v>
      </c>
    </row>
    <row r="45" customFormat="false" ht="15" hidden="false" customHeight="true" outlineLevel="0" collapsed="false">
      <c r="A45" s="9" t="n">
        <v>38</v>
      </c>
      <c r="B45" s="14" t="s">
        <v>120</v>
      </c>
      <c r="C45" s="9" t="s">
        <v>329</v>
      </c>
      <c r="D45" s="14" t="s">
        <v>330</v>
      </c>
      <c r="E45" s="14" t="s">
        <v>331</v>
      </c>
      <c r="F45" s="14" t="s">
        <v>332</v>
      </c>
      <c r="G45" s="13" t="s">
        <v>49</v>
      </c>
    </row>
    <row r="46" customFormat="false" ht="15" hidden="false" customHeight="true" outlineLevel="0" collapsed="false">
      <c r="A46" s="9" t="n">
        <v>39</v>
      </c>
      <c r="B46" s="8" t="s">
        <v>120</v>
      </c>
      <c r="C46" s="9" t="s">
        <v>333</v>
      </c>
      <c r="D46" s="8" t="s">
        <v>334</v>
      </c>
      <c r="E46" s="8" t="s">
        <v>335</v>
      </c>
      <c r="F46" s="8" t="s">
        <v>336</v>
      </c>
      <c r="G46" s="13" t="s">
        <v>49</v>
      </c>
    </row>
    <row r="47" customFormat="false" ht="15" hidden="false" customHeight="true" outlineLevel="0" collapsed="false">
      <c r="A47" s="9" t="n">
        <v>40</v>
      </c>
      <c r="B47" s="14" t="s">
        <v>125</v>
      </c>
      <c r="C47" s="9" t="s">
        <v>337</v>
      </c>
      <c r="D47" s="14" t="s">
        <v>338</v>
      </c>
      <c r="E47" s="14" t="s">
        <v>339</v>
      </c>
      <c r="F47" s="14" t="s">
        <v>340</v>
      </c>
      <c r="G47" s="13" t="s">
        <v>49</v>
      </c>
    </row>
    <row r="48" customFormat="false" ht="15" hidden="false" customHeight="true" outlineLevel="0" collapsed="false">
      <c r="A48" s="9" t="n">
        <v>41</v>
      </c>
      <c r="B48" s="8" t="s">
        <v>125</v>
      </c>
      <c r="C48" s="9" t="s">
        <v>341</v>
      </c>
      <c r="D48" s="8" t="s">
        <v>342</v>
      </c>
      <c r="E48" s="8" t="s">
        <v>343</v>
      </c>
      <c r="F48" s="8" t="s">
        <v>344</v>
      </c>
      <c r="G48" s="13" t="s">
        <v>49</v>
      </c>
    </row>
    <row r="49" customFormat="false" ht="15" hidden="false" customHeight="true" outlineLevel="0" collapsed="false">
      <c r="A49" s="9" t="n">
        <v>42</v>
      </c>
      <c r="B49" s="14" t="s">
        <v>125</v>
      </c>
      <c r="C49" s="9" t="s">
        <v>345</v>
      </c>
      <c r="D49" s="14" t="s">
        <v>346</v>
      </c>
      <c r="E49" s="14" t="s">
        <v>347</v>
      </c>
      <c r="F49" s="14" t="s">
        <v>348</v>
      </c>
      <c r="G49" s="13" t="s">
        <v>49</v>
      </c>
    </row>
    <row r="50" customFormat="false" ht="15" hidden="false" customHeight="true" outlineLevel="0" collapsed="false">
      <c r="A50" s="9" t="n">
        <v>43</v>
      </c>
      <c r="B50" s="8" t="s">
        <v>125</v>
      </c>
      <c r="C50" s="9" t="s">
        <v>349</v>
      </c>
      <c r="D50" s="8" t="s">
        <v>350</v>
      </c>
      <c r="E50" s="8" t="s">
        <v>255</v>
      </c>
      <c r="F50" s="8" t="s">
        <v>351</v>
      </c>
      <c r="G50" s="13" t="s">
        <v>49</v>
      </c>
    </row>
    <row r="51" customFormat="false" ht="15" hidden="false" customHeight="true" outlineLevel="0" collapsed="false">
      <c r="A51" s="9" t="n">
        <v>44</v>
      </c>
      <c r="B51" s="14" t="s">
        <v>125</v>
      </c>
      <c r="C51" s="9" t="s">
        <v>352</v>
      </c>
      <c r="D51" s="14" t="s">
        <v>353</v>
      </c>
      <c r="E51" s="14" t="s">
        <v>354</v>
      </c>
      <c r="F51" s="14" t="s">
        <v>355</v>
      </c>
      <c r="G51" s="13" t="s">
        <v>49</v>
      </c>
    </row>
    <row r="52" customFormat="false" ht="15" hidden="false" customHeight="true" outlineLevel="0" collapsed="false">
      <c r="A52" s="9" t="n">
        <v>45</v>
      </c>
      <c r="B52" s="8" t="s">
        <v>130</v>
      </c>
      <c r="C52" s="9" t="s">
        <v>356</v>
      </c>
      <c r="D52" s="8" t="s">
        <v>357</v>
      </c>
      <c r="E52" s="8" t="s">
        <v>358</v>
      </c>
      <c r="F52" s="8" t="s">
        <v>279</v>
      </c>
      <c r="G52" s="13" t="s">
        <v>49</v>
      </c>
    </row>
    <row r="53" customFormat="false" ht="15" hidden="false" customHeight="true" outlineLevel="0" collapsed="false">
      <c r="A53" s="9" t="n">
        <v>46</v>
      </c>
      <c r="B53" s="14" t="s">
        <v>130</v>
      </c>
      <c r="C53" s="9" t="s">
        <v>359</v>
      </c>
      <c r="D53" s="14" t="s">
        <v>360</v>
      </c>
      <c r="E53" s="14" t="s">
        <v>255</v>
      </c>
      <c r="F53" s="14" t="s">
        <v>361</v>
      </c>
      <c r="G53" s="13" t="s">
        <v>49</v>
      </c>
    </row>
    <row r="54" customFormat="false" ht="15" hidden="false" customHeight="true" outlineLevel="0" collapsed="false">
      <c r="A54" s="9" t="n">
        <v>47</v>
      </c>
      <c r="B54" s="8" t="s">
        <v>130</v>
      </c>
      <c r="C54" s="9" t="s">
        <v>362</v>
      </c>
      <c r="D54" s="8" t="s">
        <v>363</v>
      </c>
      <c r="E54" s="8" t="s">
        <v>364</v>
      </c>
      <c r="F54" s="8" t="s">
        <v>299</v>
      </c>
      <c r="G54" s="13" t="s">
        <v>49</v>
      </c>
    </row>
    <row r="55" customFormat="false" ht="15" hidden="false" customHeight="true" outlineLevel="0" collapsed="false">
      <c r="A55" s="9" t="n">
        <v>48</v>
      </c>
      <c r="B55" s="14" t="s">
        <v>130</v>
      </c>
      <c r="C55" s="9" t="s">
        <v>365</v>
      </c>
      <c r="D55" s="14" t="s">
        <v>366</v>
      </c>
      <c r="E55" s="14" t="s">
        <v>367</v>
      </c>
      <c r="F55" s="14" t="s">
        <v>368</v>
      </c>
      <c r="G55" s="13" t="s">
        <v>49</v>
      </c>
    </row>
    <row r="56" customFormat="false" ht="15" hidden="false" customHeight="true" outlineLevel="0" collapsed="false">
      <c r="A56" s="9" t="n">
        <v>49</v>
      </c>
      <c r="B56" s="8" t="s">
        <v>130</v>
      </c>
      <c r="C56" s="9" t="s">
        <v>369</v>
      </c>
      <c r="D56" s="8" t="s">
        <v>370</v>
      </c>
      <c r="E56" s="8" t="s">
        <v>371</v>
      </c>
      <c r="F56" s="8" t="s">
        <v>317</v>
      </c>
      <c r="G56" s="13" t="s">
        <v>49</v>
      </c>
    </row>
    <row r="57" customFormat="false" ht="15" hidden="false" customHeight="true" outlineLevel="0" collapsed="false">
      <c r="A57" s="9" t="n">
        <v>50</v>
      </c>
      <c r="B57" s="14" t="s">
        <v>130</v>
      </c>
      <c r="C57" s="9" t="s">
        <v>372</v>
      </c>
      <c r="D57" s="14" t="s">
        <v>373</v>
      </c>
      <c r="E57" s="14" t="s">
        <v>374</v>
      </c>
      <c r="F57" s="14" t="s">
        <v>375</v>
      </c>
      <c r="G57" s="13" t="s">
        <v>49</v>
      </c>
    </row>
    <row r="58" customFormat="false" ht="15" hidden="false" customHeight="true" outlineLevel="0" collapsed="false">
      <c r="A58" s="9" t="n">
        <v>51</v>
      </c>
      <c r="B58" s="8" t="s">
        <v>135</v>
      </c>
      <c r="C58" s="9" t="s">
        <v>376</v>
      </c>
      <c r="D58" s="8" t="s">
        <v>377</v>
      </c>
      <c r="E58" s="8" t="s">
        <v>378</v>
      </c>
      <c r="F58" s="8" t="s">
        <v>379</v>
      </c>
      <c r="G58" s="13" t="s">
        <v>49</v>
      </c>
    </row>
    <row r="59" customFormat="false" ht="15" hidden="false" customHeight="true" outlineLevel="0" collapsed="false">
      <c r="A59" s="9" t="n">
        <v>52</v>
      </c>
      <c r="B59" s="14" t="s">
        <v>135</v>
      </c>
      <c r="C59" s="9" t="s">
        <v>380</v>
      </c>
      <c r="D59" s="14" t="s">
        <v>381</v>
      </c>
      <c r="E59" s="14" t="s">
        <v>382</v>
      </c>
      <c r="F59" s="14" t="s">
        <v>383</v>
      </c>
      <c r="G59" s="13" t="s">
        <v>49</v>
      </c>
    </row>
    <row r="60" customFormat="false" ht="15" hidden="false" customHeight="true" outlineLevel="0" collapsed="false">
      <c r="A60" s="9" t="n">
        <v>53</v>
      </c>
      <c r="B60" s="8" t="s">
        <v>135</v>
      </c>
      <c r="C60" s="9" t="s">
        <v>384</v>
      </c>
      <c r="D60" s="8" t="s">
        <v>385</v>
      </c>
      <c r="E60" s="8" t="s">
        <v>386</v>
      </c>
      <c r="F60" s="8" t="s">
        <v>387</v>
      </c>
      <c r="G60" s="13" t="s">
        <v>49</v>
      </c>
    </row>
    <row r="61" customFormat="false" ht="15" hidden="false" customHeight="true" outlineLevel="0" collapsed="false">
      <c r="A61" s="9" t="n">
        <v>54</v>
      </c>
      <c r="B61" s="14" t="s">
        <v>144</v>
      </c>
      <c r="C61" s="9" t="s">
        <v>388</v>
      </c>
      <c r="D61" s="14" t="s">
        <v>389</v>
      </c>
      <c r="E61" s="14" t="s">
        <v>390</v>
      </c>
      <c r="F61" s="14" t="s">
        <v>391</v>
      </c>
      <c r="G61" s="13" t="s">
        <v>49</v>
      </c>
    </row>
    <row r="62" customFormat="false" ht="24.75" hidden="false" customHeight="true" outlineLevel="0" collapsed="false">
      <c r="A62" s="9" t="n">
        <v>55</v>
      </c>
      <c r="B62" s="8" t="s">
        <v>144</v>
      </c>
      <c r="C62" s="9" t="s">
        <v>392</v>
      </c>
      <c r="D62" s="8" t="s">
        <v>393</v>
      </c>
      <c r="E62" s="8" t="s">
        <v>394</v>
      </c>
      <c r="F62" s="8" t="s">
        <v>395</v>
      </c>
      <c r="G62" s="13" t="s">
        <v>49</v>
      </c>
    </row>
    <row r="63" customFormat="false" ht="24.75" hidden="false" customHeight="true" outlineLevel="0" collapsed="false">
      <c r="A63" s="9" t="n">
        <v>56</v>
      </c>
      <c r="B63" s="14" t="s">
        <v>149</v>
      </c>
      <c r="C63" s="9" t="s">
        <v>396</v>
      </c>
      <c r="D63" s="14" t="s">
        <v>397</v>
      </c>
      <c r="E63" s="14" t="s">
        <v>398</v>
      </c>
      <c r="F63" s="14" t="s">
        <v>399</v>
      </c>
      <c r="G63" s="13" t="s">
        <v>49</v>
      </c>
    </row>
    <row r="64" customFormat="false" ht="24.75" hidden="false" customHeight="true" outlineLevel="0" collapsed="false">
      <c r="A64" s="9" t="n">
        <v>57</v>
      </c>
      <c r="B64" s="8" t="s">
        <v>149</v>
      </c>
      <c r="C64" s="9" t="s">
        <v>400</v>
      </c>
      <c r="D64" s="8" t="s">
        <v>401</v>
      </c>
      <c r="E64" s="8" t="s">
        <v>402</v>
      </c>
      <c r="F64" s="8" t="s">
        <v>403</v>
      </c>
      <c r="G64" s="13" t="s">
        <v>49</v>
      </c>
    </row>
    <row r="65" customFormat="false" ht="15" hidden="false" customHeight="true" outlineLevel="0" collapsed="false">
      <c r="A65" s="9" t="n">
        <v>58</v>
      </c>
      <c r="B65" s="14" t="s">
        <v>149</v>
      </c>
      <c r="C65" s="9" t="s">
        <v>404</v>
      </c>
      <c r="D65" s="14" t="s">
        <v>405</v>
      </c>
      <c r="E65" s="14" t="s">
        <v>255</v>
      </c>
      <c r="F65" s="14" t="s">
        <v>406</v>
      </c>
      <c r="G65" s="13" t="s">
        <v>49</v>
      </c>
    </row>
    <row r="66" customFormat="false" ht="15" hidden="false" customHeight="true" outlineLevel="0" collapsed="false">
      <c r="A66" s="9" t="n">
        <v>59</v>
      </c>
      <c r="B66" s="8" t="s">
        <v>149</v>
      </c>
      <c r="C66" s="9" t="s">
        <v>407</v>
      </c>
      <c r="D66" s="8" t="s">
        <v>408</v>
      </c>
      <c r="E66" s="8" t="s">
        <v>409</v>
      </c>
      <c r="F66" s="8" t="s">
        <v>410</v>
      </c>
      <c r="G66" s="13" t="s">
        <v>49</v>
      </c>
    </row>
    <row r="67" customFormat="false" ht="15" hidden="false" customHeight="true" outlineLevel="0" collapsed="false">
      <c r="A67" s="9" t="n">
        <v>60</v>
      </c>
      <c r="B67" s="14" t="s">
        <v>149</v>
      </c>
      <c r="C67" s="9" t="s">
        <v>411</v>
      </c>
      <c r="D67" s="14" t="s">
        <v>412</v>
      </c>
      <c r="E67" s="14" t="s">
        <v>413</v>
      </c>
      <c r="F67" s="14" t="s">
        <v>414</v>
      </c>
      <c r="G67" s="13" t="s">
        <v>49</v>
      </c>
    </row>
    <row r="68" customFormat="false" ht="15" hidden="false" customHeight="true" outlineLevel="0" collapsed="false">
      <c r="A68" s="9" t="n">
        <v>61</v>
      </c>
      <c r="B68" s="8" t="s">
        <v>149</v>
      </c>
      <c r="C68" s="9" t="s">
        <v>415</v>
      </c>
      <c r="D68" s="8" t="s">
        <v>416</v>
      </c>
      <c r="E68" s="8" t="s">
        <v>417</v>
      </c>
      <c r="F68" s="8" t="s">
        <v>317</v>
      </c>
      <c r="G68" s="13" t="s">
        <v>49</v>
      </c>
    </row>
    <row r="69" customFormat="false" ht="15" hidden="false" customHeight="true" outlineLevel="0" collapsed="false">
      <c r="A69" s="9" t="n">
        <v>62</v>
      </c>
      <c r="B69" s="14" t="s">
        <v>154</v>
      </c>
      <c r="C69" s="9" t="s">
        <v>418</v>
      </c>
      <c r="D69" s="14" t="s">
        <v>419</v>
      </c>
      <c r="E69" s="14" t="s">
        <v>420</v>
      </c>
      <c r="F69" s="14" t="s">
        <v>421</v>
      </c>
      <c r="G69" s="13" t="s">
        <v>49</v>
      </c>
    </row>
    <row r="70" customFormat="false" ht="15" hidden="false" customHeight="true" outlineLevel="0" collapsed="false">
      <c r="A70" s="9" t="n">
        <v>63</v>
      </c>
      <c r="B70" s="8" t="s">
        <v>154</v>
      </c>
      <c r="C70" s="9" t="s">
        <v>422</v>
      </c>
      <c r="D70" s="8" t="s">
        <v>423</v>
      </c>
      <c r="E70" s="8" t="s">
        <v>424</v>
      </c>
      <c r="F70" s="8" t="s">
        <v>425</v>
      </c>
      <c r="G70" s="13" t="s">
        <v>49</v>
      </c>
    </row>
    <row r="71" customFormat="false" ht="15" hidden="false" customHeight="true" outlineLevel="0" collapsed="false">
      <c r="A71" s="9" t="n">
        <v>64</v>
      </c>
      <c r="B71" s="14" t="s">
        <v>154</v>
      </c>
      <c r="C71" s="9" t="s">
        <v>426</v>
      </c>
      <c r="D71" s="14" t="s">
        <v>427</v>
      </c>
      <c r="E71" s="14" t="s">
        <v>255</v>
      </c>
      <c r="F71" s="14" t="s">
        <v>428</v>
      </c>
      <c r="G71" s="13" t="s">
        <v>49</v>
      </c>
    </row>
    <row r="72" customFormat="false" ht="15" hidden="false" customHeight="true" outlineLevel="0" collapsed="false">
      <c r="A72" s="9" t="n">
        <v>65</v>
      </c>
      <c r="B72" s="8" t="s">
        <v>154</v>
      </c>
      <c r="C72" s="9" t="s">
        <v>429</v>
      </c>
      <c r="D72" s="8" t="s">
        <v>430</v>
      </c>
      <c r="E72" s="8" t="s">
        <v>431</v>
      </c>
      <c r="F72" s="8" t="s">
        <v>421</v>
      </c>
      <c r="G72" s="13" t="s">
        <v>49</v>
      </c>
    </row>
    <row r="73" customFormat="false" ht="15" hidden="false" customHeight="true" outlineLevel="0" collapsed="false">
      <c r="A73" s="9" t="n">
        <v>66</v>
      </c>
      <c r="B73" s="14" t="s">
        <v>154</v>
      </c>
      <c r="C73" s="9" t="s">
        <v>432</v>
      </c>
      <c r="D73" s="14" t="s">
        <v>433</v>
      </c>
      <c r="E73" s="14" t="s">
        <v>434</v>
      </c>
      <c r="F73" s="14" t="s">
        <v>435</v>
      </c>
      <c r="G73" s="13" t="s">
        <v>49</v>
      </c>
    </row>
    <row r="74" customFormat="false" ht="15" hidden="false" customHeight="true" outlineLevel="0" collapsed="false">
      <c r="A74" s="9" t="n">
        <v>67</v>
      </c>
      <c r="B74" s="8" t="s">
        <v>163</v>
      </c>
      <c r="C74" s="9" t="s">
        <v>436</v>
      </c>
      <c r="D74" s="8" t="s">
        <v>437</v>
      </c>
      <c r="E74" s="8" t="s">
        <v>438</v>
      </c>
      <c r="F74" s="8" t="s">
        <v>279</v>
      </c>
      <c r="G74" s="13" t="s">
        <v>49</v>
      </c>
    </row>
    <row r="75" customFormat="false" ht="15" hidden="false" customHeight="true" outlineLevel="0" collapsed="false">
      <c r="A75" s="9" t="n">
        <v>68</v>
      </c>
      <c r="B75" s="14" t="s">
        <v>163</v>
      </c>
      <c r="C75" s="9" t="s">
        <v>439</v>
      </c>
      <c r="D75" s="14" t="s">
        <v>440</v>
      </c>
      <c r="E75" s="14" t="s">
        <v>441</v>
      </c>
      <c r="F75" s="14" t="s">
        <v>442</v>
      </c>
      <c r="G75" s="13" t="s">
        <v>49</v>
      </c>
    </row>
    <row r="76" customFormat="false" ht="15" hidden="false" customHeight="true" outlineLevel="0" collapsed="false">
      <c r="A76" s="9" t="n">
        <v>69</v>
      </c>
      <c r="B76" s="8" t="s">
        <v>163</v>
      </c>
      <c r="C76" s="9" t="s">
        <v>443</v>
      </c>
      <c r="D76" s="8" t="s">
        <v>444</v>
      </c>
      <c r="E76" s="8" t="s">
        <v>255</v>
      </c>
      <c r="F76" s="8" t="s">
        <v>445</v>
      </c>
      <c r="G76" s="13" t="s">
        <v>49</v>
      </c>
    </row>
    <row r="77" customFormat="false" ht="15" hidden="false" customHeight="true" outlineLevel="0" collapsed="false">
      <c r="A77" s="9" t="n">
        <v>70</v>
      </c>
      <c r="B77" s="14" t="s">
        <v>163</v>
      </c>
      <c r="C77" s="9" t="s">
        <v>446</v>
      </c>
      <c r="D77" s="14" t="s">
        <v>447</v>
      </c>
      <c r="E77" s="14" t="s">
        <v>448</v>
      </c>
      <c r="F77" s="14" t="s">
        <v>449</v>
      </c>
      <c r="G77" s="13" t="s">
        <v>49</v>
      </c>
    </row>
    <row r="78" customFormat="false" ht="15" hidden="false" customHeight="true" outlineLevel="0" collapsed="false">
      <c r="A78" s="9" t="n">
        <v>71</v>
      </c>
      <c r="B78" s="8" t="s">
        <v>163</v>
      </c>
      <c r="C78" s="9" t="s">
        <v>450</v>
      </c>
      <c r="D78" s="8" t="s">
        <v>451</v>
      </c>
      <c r="E78" s="8" t="s">
        <v>452</v>
      </c>
      <c r="F78" s="8" t="s">
        <v>453</v>
      </c>
      <c r="G78" s="13" t="s">
        <v>49</v>
      </c>
    </row>
    <row r="79" customFormat="false" ht="15" hidden="false" customHeight="true" outlineLevel="0" collapsed="false">
      <c r="A79" s="9" t="n">
        <v>72</v>
      </c>
      <c r="B79" s="14" t="s">
        <v>168</v>
      </c>
      <c r="C79" s="9" t="s">
        <v>454</v>
      </c>
      <c r="D79" s="14" t="s">
        <v>455</v>
      </c>
      <c r="E79" s="14" t="s">
        <v>456</v>
      </c>
      <c r="F79" s="14" t="s">
        <v>317</v>
      </c>
      <c r="G79" s="13" t="s">
        <v>49</v>
      </c>
    </row>
    <row r="80" customFormat="false" ht="15" hidden="false" customHeight="true" outlineLevel="0" collapsed="false">
      <c r="A80" s="9" t="n">
        <v>73</v>
      </c>
      <c r="B80" s="8" t="s">
        <v>168</v>
      </c>
      <c r="C80" s="9" t="s">
        <v>457</v>
      </c>
      <c r="D80" s="8" t="s">
        <v>458</v>
      </c>
      <c r="E80" s="8" t="s">
        <v>459</v>
      </c>
      <c r="F80" s="8" t="s">
        <v>460</v>
      </c>
      <c r="G80" s="13" t="s">
        <v>49</v>
      </c>
    </row>
    <row r="81" customFormat="false" ht="15" hidden="false" customHeight="true" outlineLevel="0" collapsed="false">
      <c r="A81" s="9" t="n">
        <v>74</v>
      </c>
      <c r="B81" s="14" t="s">
        <v>461</v>
      </c>
      <c r="C81" s="9" t="s">
        <v>462</v>
      </c>
      <c r="D81" s="14" t="s">
        <v>463</v>
      </c>
      <c r="E81" s="14" t="s">
        <v>464</v>
      </c>
      <c r="F81" s="14" t="s">
        <v>465</v>
      </c>
      <c r="G81" s="13" t="s">
        <v>49</v>
      </c>
    </row>
    <row r="82" customFormat="false" ht="15" hidden="false" customHeight="true" outlineLevel="0" collapsed="false">
      <c r="A82" s="9" t="n">
        <v>75</v>
      </c>
      <c r="B82" s="8" t="s">
        <v>461</v>
      </c>
      <c r="C82" s="9" t="s">
        <v>466</v>
      </c>
      <c r="D82" s="8" t="s">
        <v>467</v>
      </c>
      <c r="E82" s="8" t="s">
        <v>417</v>
      </c>
      <c r="F82" s="8" t="s">
        <v>468</v>
      </c>
      <c r="G82" s="13" t="s">
        <v>49</v>
      </c>
    </row>
    <row r="83" customFormat="false" ht="15" hidden="false" customHeight="true" outlineLevel="0" collapsed="false">
      <c r="A83" s="9" t="n">
        <v>76</v>
      </c>
      <c r="B83" s="14" t="s">
        <v>469</v>
      </c>
      <c r="C83" s="9" t="s">
        <v>470</v>
      </c>
      <c r="D83" s="14" t="s">
        <v>471</v>
      </c>
      <c r="E83" s="14" t="s">
        <v>472</v>
      </c>
      <c r="F83" s="14" t="s">
        <v>473</v>
      </c>
      <c r="G83" s="13" t="s">
        <v>49</v>
      </c>
    </row>
    <row r="84" customFormat="false" ht="15" hidden="false" customHeight="true" outlineLevel="0" collapsed="false">
      <c r="A84" s="9" t="n">
        <v>77</v>
      </c>
      <c r="B84" s="8" t="s">
        <v>469</v>
      </c>
      <c r="C84" s="9" t="s">
        <v>474</v>
      </c>
      <c r="D84" s="8" t="s">
        <v>475</v>
      </c>
      <c r="E84" s="8" t="s">
        <v>417</v>
      </c>
      <c r="F84" s="8" t="s">
        <v>468</v>
      </c>
      <c r="G84" s="13" t="s">
        <v>49</v>
      </c>
    </row>
    <row r="85" customFormat="false" ht="15" hidden="false" customHeight="true" outlineLevel="0" collapsed="false">
      <c r="A85" s="9" t="n">
        <v>78</v>
      </c>
      <c r="B85" s="14" t="s">
        <v>476</v>
      </c>
      <c r="C85" s="9" t="s">
        <v>477</v>
      </c>
      <c r="D85" s="14" t="s">
        <v>478</v>
      </c>
      <c r="E85" s="14" t="s">
        <v>417</v>
      </c>
      <c r="F85" s="14" t="s">
        <v>479</v>
      </c>
      <c r="G85" s="13" t="s">
        <v>49</v>
      </c>
    </row>
    <row r="86" customFormat="false" ht="24.75" hidden="false" customHeight="true" outlineLevel="0" collapsed="false">
      <c r="A86" s="9" t="n">
        <v>79</v>
      </c>
      <c r="B86" s="8" t="s">
        <v>476</v>
      </c>
      <c r="C86" s="9" t="s">
        <v>480</v>
      </c>
      <c r="D86" s="8" t="s">
        <v>481</v>
      </c>
      <c r="E86" s="8" t="s">
        <v>482</v>
      </c>
      <c r="F86" s="8" t="s">
        <v>483</v>
      </c>
      <c r="G86" s="13" t="s">
        <v>49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0"/>
    <col collapsed="false" customWidth="true" hidden="false" outlineLevel="0" max="3" min="3" style="1" width="8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9"/>
    <col collapsed="false" customWidth="true" hidden="false" outlineLevel="0" max="8" min="8" style="1" width="12"/>
    <col collapsed="false" customWidth="true" hidden="false" outlineLevel="0" max="10" min="9" style="1" width="18"/>
    <col collapsed="false" customWidth="true" hidden="false" outlineLevel="0" max="11" min="11" style="1" width="14"/>
  </cols>
  <sheetData>
    <row r="1" customFormat="false" ht="17.25" hidden="false" customHeight="true" outlineLevel="0" collapsed="false">
      <c r="A1" s="2" t="s">
        <v>484</v>
      </c>
    </row>
    <row r="2" customFormat="false" ht="15" hidden="false" customHeight="true" outlineLevel="0" collapsed="false">
      <c r="A2" s="12" t="s">
        <v>485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customFormat="false" ht="15" hidden="false" customHeight="true" outlineLevel="0" collapsed="false">
      <c r="A3" s="16" t="s">
        <v>486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5" customFormat="false" ht="24.75" hidden="false" customHeight="true" outlineLevel="0" collapsed="false">
      <c r="A5" s="7" t="s">
        <v>67</v>
      </c>
      <c r="B5" s="7" t="s">
        <v>487</v>
      </c>
      <c r="C5" s="7" t="s">
        <v>488</v>
      </c>
      <c r="D5" s="7" t="s">
        <v>489</v>
      </c>
      <c r="E5" s="7" t="s">
        <v>36</v>
      </c>
      <c r="F5" s="7" t="s">
        <v>490</v>
      </c>
      <c r="G5" s="7" t="s">
        <v>34</v>
      </c>
      <c r="H5" s="7" t="s">
        <v>38</v>
      </c>
      <c r="I5" s="7" t="s">
        <v>491</v>
      </c>
      <c r="J5" s="7" t="s">
        <v>492</v>
      </c>
      <c r="K5" s="7" t="s">
        <v>493</v>
      </c>
    </row>
    <row r="6" customFormat="false" ht="15" hidden="false" customHeight="true" outlineLevel="0" collapsed="false">
      <c r="A6" s="9" t="s">
        <v>494</v>
      </c>
      <c r="B6" s="8" t="s">
        <v>495</v>
      </c>
      <c r="C6" s="9" t="n">
        <v>45</v>
      </c>
      <c r="D6" s="9" t="n">
        <v>1</v>
      </c>
      <c r="E6" s="9" t="n">
        <v>-0.1</v>
      </c>
      <c r="F6" s="17" t="n">
        <v>143000</v>
      </c>
      <c r="G6" s="9" t="n">
        <v>2</v>
      </c>
      <c r="H6" s="9" t="n">
        <f aca="false">C6*(D6+E6)</f>
        <v>40.5</v>
      </c>
      <c r="I6" s="17" t="n">
        <f aca="false">H6*F6*G6</f>
        <v>11583000</v>
      </c>
      <c r="J6" s="17" t="n">
        <v>11583000</v>
      </c>
      <c r="K6" s="9" t="str">
        <f aca="false">IF(I6=J6,"KHOP","LECH")</f>
        <v>KHOP</v>
      </c>
    </row>
    <row r="7" customFormat="false" ht="15" hidden="false" customHeight="true" outlineLevel="0" collapsed="false">
      <c r="A7" s="9" t="s">
        <v>496</v>
      </c>
      <c r="B7" s="8" t="s">
        <v>497</v>
      </c>
      <c r="C7" s="9" t="n">
        <v>60</v>
      </c>
      <c r="D7" s="9" t="n">
        <v>1.2</v>
      </c>
      <c r="E7" s="9" t="n">
        <v>-0.1</v>
      </c>
      <c r="F7" s="17" t="n">
        <v>143000</v>
      </c>
      <c r="G7" s="9" t="n">
        <v>2</v>
      </c>
      <c r="H7" s="9" t="n">
        <f aca="false">C7*(D7+E7)</f>
        <v>66</v>
      </c>
      <c r="I7" s="17" t="n">
        <f aca="false">H7*F7*G7</f>
        <v>18876000</v>
      </c>
      <c r="J7" s="17" t="n">
        <v>18876000</v>
      </c>
      <c r="K7" s="9" t="str">
        <f aca="false">IF(I7=J7,"KHOP","LECH")</f>
        <v>KHOP</v>
      </c>
    </row>
    <row r="8" customFormat="false" ht="15" hidden="false" customHeight="true" outlineLevel="0" collapsed="false">
      <c r="A8" s="9" t="s">
        <v>498</v>
      </c>
      <c r="B8" s="8" t="s">
        <v>499</v>
      </c>
      <c r="C8" s="9" t="n">
        <v>45</v>
      </c>
      <c r="D8" s="9" t="n">
        <v>1</v>
      </c>
      <c r="E8" s="9" t="n">
        <v>0</v>
      </c>
      <c r="F8" s="17" t="n">
        <v>143000</v>
      </c>
      <c r="G8" s="9" t="n">
        <v>2</v>
      </c>
      <c r="H8" s="9" t="n">
        <f aca="false">C8*(D8+E8)</f>
        <v>45</v>
      </c>
      <c r="I8" s="17" t="n">
        <f aca="false">H8*F8*G8</f>
        <v>12870000</v>
      </c>
      <c r="J8" s="17" t="n">
        <v>12870000</v>
      </c>
      <c r="K8" s="9" t="str">
        <f aca="false">IF(I8=J8,"KHOP","LECH")</f>
        <v>KHOP</v>
      </c>
    </row>
    <row r="9" customFormat="false" ht="24.75" hidden="false" customHeight="true" outlineLevel="0" collapsed="false">
      <c r="A9" s="9" t="s">
        <v>500</v>
      </c>
      <c r="B9" s="8" t="s">
        <v>501</v>
      </c>
      <c r="C9" s="9" t="n">
        <v>50</v>
      </c>
      <c r="D9" s="9" t="n">
        <v>1</v>
      </c>
      <c r="E9" s="9" t="n">
        <v>0</v>
      </c>
      <c r="F9" s="17" t="n">
        <v>143000</v>
      </c>
      <c r="G9" s="9" t="n">
        <v>1.5</v>
      </c>
      <c r="H9" s="9" t="n">
        <f aca="false">C9*(D9+E9)</f>
        <v>50</v>
      </c>
      <c r="I9" s="17" t="n">
        <f aca="false">H9*F9*G9</f>
        <v>10725000</v>
      </c>
      <c r="J9" s="17" t="s">
        <v>502</v>
      </c>
      <c r="K9" s="9" t="s">
        <v>503</v>
      </c>
    </row>
    <row r="10" customFormat="false" ht="24.75" hidden="false" customHeight="true" outlineLevel="0" collapsed="false">
      <c r="A10" s="9" t="s">
        <v>504</v>
      </c>
      <c r="B10" s="8" t="s">
        <v>505</v>
      </c>
      <c r="C10" s="9" t="n">
        <v>45</v>
      </c>
      <c r="D10" s="9" t="n">
        <v>1</v>
      </c>
      <c r="E10" s="9" t="n">
        <v>-0.2</v>
      </c>
      <c r="F10" s="17" t="n">
        <v>150000</v>
      </c>
      <c r="G10" s="9" t="n">
        <v>2</v>
      </c>
      <c r="H10" s="9" t="n">
        <f aca="false">C10*(D10+E10)</f>
        <v>36</v>
      </c>
      <c r="I10" s="17" t="n">
        <f aca="false">H10*F10*G10</f>
        <v>10800000</v>
      </c>
      <c r="J10" s="17" t="s">
        <v>502</v>
      </c>
      <c r="K10" s="9" t="s">
        <v>503</v>
      </c>
    </row>
    <row r="11" customFormat="false" ht="24.75" hidden="false" customHeight="true" outlineLevel="0" collapsed="false">
      <c r="A11" s="9" t="s">
        <v>506</v>
      </c>
      <c r="B11" s="8" t="s">
        <v>507</v>
      </c>
      <c r="C11" s="9" t="n">
        <v>60</v>
      </c>
      <c r="D11" s="9" t="n">
        <v>1.2</v>
      </c>
      <c r="E11" s="9" t="n">
        <v>0.2</v>
      </c>
      <c r="F11" s="17" t="n">
        <v>143000</v>
      </c>
      <c r="G11" s="9" t="n">
        <v>2.5</v>
      </c>
      <c r="H11" s="9" t="n">
        <f aca="false">C11*(D11+E11)</f>
        <v>84</v>
      </c>
      <c r="I11" s="17" t="n">
        <f aca="false">H11*F11*G11</f>
        <v>30030000</v>
      </c>
      <c r="J11" s="17" t="s">
        <v>502</v>
      </c>
      <c r="K11" s="9" t="s">
        <v>503</v>
      </c>
    </row>
  </sheetData>
  <mergeCells count="2">
    <mergeCell ref="A2:K2"/>
    <mergeCell ref="A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0"/>
    <col collapsed="false" customWidth="true" hidden="false" outlineLevel="0" max="3" min="3" style="1" width="10"/>
    <col collapsed="false" customWidth="true" hidden="false" outlineLevel="0" max="4" min="4" style="1" width="34"/>
    <col collapsed="false" customWidth="true" hidden="false" outlineLevel="0" max="5" min="5" style="1" width="46"/>
    <col collapsed="false" customWidth="true" hidden="false" outlineLevel="0" max="6" min="6" style="1" width="40"/>
    <col collapsed="false" customWidth="true" hidden="false" outlineLevel="0" max="7" min="7" style="1" width="14"/>
  </cols>
  <sheetData>
    <row r="1" customFormat="false" ht="17.25" hidden="false" customHeight="true" outlineLevel="0" collapsed="false">
      <c r="A1" s="2" t="s">
        <v>508</v>
      </c>
    </row>
    <row r="2" customFormat="false" ht="15" hidden="false" customHeight="true" outlineLevel="0" collapsed="false">
      <c r="A2" s="12" t="s">
        <v>509</v>
      </c>
      <c r="B2" s="12"/>
      <c r="C2" s="12"/>
      <c r="D2" s="12"/>
      <c r="E2" s="12"/>
      <c r="F2" s="12"/>
      <c r="G2" s="12"/>
    </row>
    <row r="4" customFormat="false" ht="15" hidden="false" customHeight="true" outlineLevel="0" collapsed="false">
      <c r="A4" s="3" t="s">
        <v>61</v>
      </c>
      <c r="B4" s="4" t="n">
        <f aca="false">COUNTIF($G$8:$G$500,"Passed")</f>
        <v>0</v>
      </c>
      <c r="D4" s="3" t="s">
        <v>62</v>
      </c>
      <c r="E4" s="4" t="n">
        <f aca="false">COUNTA($C$8:$C$500)</f>
        <v>10</v>
      </c>
    </row>
    <row r="5" customFormat="false" ht="15" hidden="false" customHeight="true" outlineLevel="0" collapsed="false">
      <c r="A5" s="3" t="s">
        <v>63</v>
      </c>
      <c r="B5" s="4" t="n">
        <f aca="false">COUNTIF($G$8:$G$500,"Failed")</f>
        <v>0</v>
      </c>
    </row>
    <row r="6" customFormat="false" ht="15" hidden="false" customHeight="true" outlineLevel="0" collapsed="false">
      <c r="A6" s="3" t="s">
        <v>64</v>
      </c>
      <c r="B6" s="4" t="n">
        <f aca="false">COUNTIF($G$8:$G$500,"Chưa thực thi")</f>
        <v>10</v>
      </c>
    </row>
    <row r="7" customFormat="false" ht="15" hidden="false" customHeight="true" outlineLevel="0" collapsed="false">
      <c r="A7" s="7" t="s">
        <v>65</v>
      </c>
      <c r="B7" s="7" t="s">
        <v>66</v>
      </c>
      <c r="C7" s="7" t="s">
        <v>67</v>
      </c>
      <c r="D7" s="7" t="s">
        <v>68</v>
      </c>
      <c r="E7" s="7" t="s">
        <v>69</v>
      </c>
      <c r="F7" s="7" t="s">
        <v>70</v>
      </c>
      <c r="G7" s="7" t="s">
        <v>71</v>
      </c>
    </row>
    <row r="8" customFormat="false" ht="36.75" hidden="false" customHeight="true" outlineLevel="0" collapsed="false">
      <c r="A8" s="9" t="n">
        <v>1</v>
      </c>
      <c r="B8" s="8" t="s">
        <v>510</v>
      </c>
      <c r="C8" s="9" t="s">
        <v>511</v>
      </c>
      <c r="D8" s="8" t="s">
        <v>512</v>
      </c>
      <c r="E8" s="8" t="s">
        <v>513</v>
      </c>
      <c r="F8" s="8" t="s">
        <v>514</v>
      </c>
      <c r="G8" s="18" t="s">
        <v>51</v>
      </c>
    </row>
    <row r="9" customFormat="false" ht="24.75" hidden="false" customHeight="true" outlineLevel="0" collapsed="false">
      <c r="A9" s="9" t="n">
        <v>2</v>
      </c>
      <c r="B9" s="14" t="s">
        <v>510</v>
      </c>
      <c r="C9" s="9" t="s">
        <v>515</v>
      </c>
      <c r="D9" s="14" t="s">
        <v>516</v>
      </c>
      <c r="E9" s="14" t="s">
        <v>517</v>
      </c>
      <c r="F9" s="14" t="s">
        <v>518</v>
      </c>
      <c r="G9" s="18" t="s">
        <v>51</v>
      </c>
    </row>
    <row r="10" customFormat="false" ht="15" hidden="false" customHeight="true" outlineLevel="0" collapsed="false">
      <c r="A10" s="9" t="n">
        <v>3</v>
      </c>
      <c r="B10" s="8" t="s">
        <v>510</v>
      </c>
      <c r="C10" s="9" t="s">
        <v>519</v>
      </c>
      <c r="D10" s="8" t="s">
        <v>520</v>
      </c>
      <c r="E10" s="8" t="s">
        <v>521</v>
      </c>
      <c r="F10" s="8" t="s">
        <v>522</v>
      </c>
      <c r="G10" s="18" t="s">
        <v>51</v>
      </c>
    </row>
    <row r="11" customFormat="false" ht="24.75" hidden="false" customHeight="true" outlineLevel="0" collapsed="false">
      <c r="A11" s="9" t="n">
        <v>4</v>
      </c>
      <c r="B11" s="14" t="s">
        <v>523</v>
      </c>
      <c r="C11" s="9" t="s">
        <v>524</v>
      </c>
      <c r="D11" s="14" t="s">
        <v>525</v>
      </c>
      <c r="E11" s="14" t="s">
        <v>526</v>
      </c>
      <c r="F11" s="14" t="s">
        <v>527</v>
      </c>
      <c r="G11" s="18" t="s">
        <v>51</v>
      </c>
    </row>
    <row r="12" customFormat="false" ht="24.75" hidden="false" customHeight="true" outlineLevel="0" collapsed="false">
      <c r="A12" s="9" t="n">
        <v>5</v>
      </c>
      <c r="B12" s="8" t="s">
        <v>523</v>
      </c>
      <c r="C12" s="9" t="s">
        <v>528</v>
      </c>
      <c r="D12" s="8" t="s">
        <v>529</v>
      </c>
      <c r="E12" s="8" t="s">
        <v>530</v>
      </c>
      <c r="F12" s="8" t="s">
        <v>531</v>
      </c>
      <c r="G12" s="18" t="s">
        <v>51</v>
      </c>
    </row>
    <row r="13" customFormat="false" ht="24.75" hidden="false" customHeight="true" outlineLevel="0" collapsed="false">
      <c r="A13" s="9" t="n">
        <v>6</v>
      </c>
      <c r="B13" s="14" t="s">
        <v>532</v>
      </c>
      <c r="C13" s="9" t="s">
        <v>533</v>
      </c>
      <c r="D13" s="14" t="s">
        <v>534</v>
      </c>
      <c r="E13" s="14" t="s">
        <v>535</v>
      </c>
      <c r="F13" s="14" t="s">
        <v>536</v>
      </c>
      <c r="G13" s="18" t="s">
        <v>51</v>
      </c>
    </row>
    <row r="14" customFormat="false" ht="24.75" hidden="false" customHeight="true" outlineLevel="0" collapsed="false">
      <c r="A14" s="9" t="n">
        <v>7</v>
      </c>
      <c r="B14" s="8" t="s">
        <v>532</v>
      </c>
      <c r="C14" s="9" t="s">
        <v>537</v>
      </c>
      <c r="D14" s="8" t="s">
        <v>538</v>
      </c>
      <c r="E14" s="8" t="s">
        <v>539</v>
      </c>
      <c r="F14" s="8" t="s">
        <v>540</v>
      </c>
      <c r="G14" s="18" t="s">
        <v>51</v>
      </c>
    </row>
    <row r="15" customFormat="false" ht="15" hidden="false" customHeight="true" outlineLevel="0" collapsed="false">
      <c r="A15" s="9" t="n">
        <v>8</v>
      </c>
      <c r="B15" s="14" t="s">
        <v>541</v>
      </c>
      <c r="C15" s="9" t="s">
        <v>542</v>
      </c>
      <c r="D15" s="14" t="s">
        <v>543</v>
      </c>
      <c r="E15" s="14" t="s">
        <v>544</v>
      </c>
      <c r="F15" s="14" t="s">
        <v>545</v>
      </c>
      <c r="G15" s="18" t="s">
        <v>51</v>
      </c>
    </row>
    <row r="16" customFormat="false" ht="15" hidden="false" customHeight="true" outlineLevel="0" collapsed="false">
      <c r="A16" s="9" t="n">
        <v>9</v>
      </c>
      <c r="B16" s="8" t="s">
        <v>541</v>
      </c>
      <c r="C16" s="9" t="s">
        <v>546</v>
      </c>
      <c r="D16" s="8" t="s">
        <v>547</v>
      </c>
      <c r="E16" s="8" t="s">
        <v>548</v>
      </c>
      <c r="F16" s="8" t="s">
        <v>549</v>
      </c>
      <c r="G16" s="18" t="s">
        <v>51</v>
      </c>
    </row>
    <row r="17" customFormat="false" ht="24.75" hidden="false" customHeight="true" outlineLevel="0" collapsed="false">
      <c r="A17" s="9" t="n">
        <v>10</v>
      </c>
      <c r="B17" s="14" t="s">
        <v>550</v>
      </c>
      <c r="C17" s="9" t="s">
        <v>551</v>
      </c>
      <c r="D17" s="14" t="s">
        <v>552</v>
      </c>
      <c r="E17" s="14" t="s">
        <v>553</v>
      </c>
      <c r="F17" s="14" t="s">
        <v>554</v>
      </c>
      <c r="G17" s="18" t="s">
        <v>51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0"/>
    <col collapsed="false" customWidth="true" hidden="false" outlineLevel="0" max="3" min="3" style="1" width="10"/>
    <col collapsed="false" customWidth="true" hidden="false" outlineLevel="0" max="4" min="4" style="1" width="34"/>
    <col collapsed="false" customWidth="true" hidden="false" outlineLevel="0" max="5" min="5" style="1" width="46"/>
    <col collapsed="false" customWidth="true" hidden="false" outlineLevel="0" max="6" min="6" style="1" width="40"/>
    <col collapsed="false" customWidth="true" hidden="false" outlineLevel="0" max="7" min="7" style="1" width="14"/>
  </cols>
  <sheetData>
    <row r="1" customFormat="false" ht="17.25" hidden="false" customHeight="true" outlineLevel="0" collapsed="false">
      <c r="A1" s="2" t="s">
        <v>555</v>
      </c>
    </row>
    <row r="2" customFormat="false" ht="15" hidden="false" customHeight="true" outlineLevel="0" collapsed="false">
      <c r="A2" s="12" t="s">
        <v>556</v>
      </c>
      <c r="B2" s="12"/>
      <c r="C2" s="12"/>
      <c r="D2" s="12"/>
      <c r="E2" s="12"/>
      <c r="F2" s="12"/>
      <c r="G2" s="12"/>
    </row>
    <row r="4" customFormat="false" ht="15" hidden="false" customHeight="true" outlineLevel="0" collapsed="false">
      <c r="A4" s="3" t="s">
        <v>61</v>
      </c>
      <c r="B4" s="4" t="n">
        <f aca="false">COUNTIF($G$8:$G$500,"Passed")</f>
        <v>0</v>
      </c>
      <c r="D4" s="3" t="s">
        <v>62</v>
      </c>
      <c r="E4" s="4" t="n">
        <f aca="false">COUNTA($C$8:$C$500)</f>
        <v>8</v>
      </c>
    </row>
    <row r="5" customFormat="false" ht="15" hidden="false" customHeight="true" outlineLevel="0" collapsed="false">
      <c r="A5" s="3" t="s">
        <v>63</v>
      </c>
      <c r="B5" s="4" t="n">
        <f aca="false">COUNTIF($G$8:$G$500,"Failed")</f>
        <v>0</v>
      </c>
    </row>
    <row r="6" customFormat="false" ht="15" hidden="false" customHeight="true" outlineLevel="0" collapsed="false">
      <c r="A6" s="3" t="s">
        <v>64</v>
      </c>
      <c r="B6" s="4" t="n">
        <f aca="false">COUNTIF($G$8:$G$500,"Chưa thực thi")</f>
        <v>8</v>
      </c>
    </row>
    <row r="7" customFormat="false" ht="15" hidden="false" customHeight="true" outlineLevel="0" collapsed="false">
      <c r="A7" s="7" t="s">
        <v>65</v>
      </c>
      <c r="B7" s="7" t="s">
        <v>66</v>
      </c>
      <c r="C7" s="7" t="s">
        <v>67</v>
      </c>
      <c r="D7" s="7" t="s">
        <v>68</v>
      </c>
      <c r="E7" s="7" t="s">
        <v>69</v>
      </c>
      <c r="F7" s="7" t="s">
        <v>70</v>
      </c>
      <c r="G7" s="7" t="s">
        <v>71</v>
      </c>
    </row>
    <row r="8" customFormat="false" ht="24.75" hidden="false" customHeight="true" outlineLevel="0" collapsed="false">
      <c r="A8" s="9" t="n">
        <v>1</v>
      </c>
      <c r="B8" s="8" t="s">
        <v>557</v>
      </c>
      <c r="C8" s="9" t="s">
        <v>558</v>
      </c>
      <c r="D8" s="8" t="s">
        <v>559</v>
      </c>
      <c r="E8" s="8" t="s">
        <v>560</v>
      </c>
      <c r="F8" s="8" t="s">
        <v>561</v>
      </c>
      <c r="G8" s="18" t="s">
        <v>51</v>
      </c>
    </row>
    <row r="9" customFormat="false" ht="24.75" hidden="false" customHeight="true" outlineLevel="0" collapsed="false">
      <c r="A9" s="9" t="n">
        <v>2</v>
      </c>
      <c r="B9" s="14" t="s">
        <v>557</v>
      </c>
      <c r="C9" s="9" t="s">
        <v>562</v>
      </c>
      <c r="D9" s="14" t="s">
        <v>563</v>
      </c>
      <c r="E9" s="14" t="s">
        <v>564</v>
      </c>
      <c r="F9" s="14" t="s">
        <v>565</v>
      </c>
      <c r="G9" s="18" t="s">
        <v>51</v>
      </c>
    </row>
    <row r="10" customFormat="false" ht="24.75" hidden="false" customHeight="true" outlineLevel="0" collapsed="false">
      <c r="A10" s="9" t="n">
        <v>3</v>
      </c>
      <c r="B10" s="8" t="s">
        <v>557</v>
      </c>
      <c r="C10" s="9" t="s">
        <v>566</v>
      </c>
      <c r="D10" s="8" t="s">
        <v>567</v>
      </c>
      <c r="E10" s="8" t="s">
        <v>568</v>
      </c>
      <c r="F10" s="8" t="s">
        <v>569</v>
      </c>
      <c r="G10" s="18" t="s">
        <v>51</v>
      </c>
    </row>
    <row r="11" customFormat="false" ht="24.75" hidden="false" customHeight="true" outlineLevel="0" collapsed="false">
      <c r="A11" s="9" t="n">
        <v>4</v>
      </c>
      <c r="B11" s="14" t="s">
        <v>557</v>
      </c>
      <c r="C11" s="9" t="s">
        <v>570</v>
      </c>
      <c r="D11" s="14" t="s">
        <v>571</v>
      </c>
      <c r="E11" s="14" t="s">
        <v>568</v>
      </c>
      <c r="F11" s="14" t="s">
        <v>572</v>
      </c>
      <c r="G11" s="18" t="s">
        <v>51</v>
      </c>
    </row>
    <row r="12" customFormat="false" ht="24.75" hidden="false" customHeight="true" outlineLevel="0" collapsed="false">
      <c r="A12" s="9" t="n">
        <v>5</v>
      </c>
      <c r="B12" s="8" t="s">
        <v>573</v>
      </c>
      <c r="C12" s="9" t="s">
        <v>574</v>
      </c>
      <c r="D12" s="8" t="s">
        <v>575</v>
      </c>
      <c r="E12" s="8" t="s">
        <v>576</v>
      </c>
      <c r="F12" s="8" t="s">
        <v>577</v>
      </c>
      <c r="G12" s="18" t="s">
        <v>51</v>
      </c>
    </row>
    <row r="13" customFormat="false" ht="24.75" hidden="false" customHeight="true" outlineLevel="0" collapsed="false">
      <c r="A13" s="9" t="n">
        <v>6</v>
      </c>
      <c r="B13" s="14" t="s">
        <v>578</v>
      </c>
      <c r="C13" s="9" t="s">
        <v>579</v>
      </c>
      <c r="D13" s="14" t="s">
        <v>580</v>
      </c>
      <c r="E13" s="14" t="s">
        <v>581</v>
      </c>
      <c r="F13" s="14" t="s">
        <v>582</v>
      </c>
      <c r="G13" s="18" t="s">
        <v>51</v>
      </c>
    </row>
    <row r="14" customFormat="false" ht="24.75" hidden="false" customHeight="true" outlineLevel="0" collapsed="false">
      <c r="A14" s="9" t="n">
        <v>7</v>
      </c>
      <c r="B14" s="8" t="s">
        <v>578</v>
      </c>
      <c r="C14" s="9" t="s">
        <v>583</v>
      </c>
      <c r="D14" s="8" t="s">
        <v>584</v>
      </c>
      <c r="E14" s="8" t="s">
        <v>585</v>
      </c>
      <c r="F14" s="8" t="s">
        <v>586</v>
      </c>
      <c r="G14" s="18" t="s">
        <v>51</v>
      </c>
    </row>
    <row r="15" customFormat="false" ht="24.75" hidden="false" customHeight="true" outlineLevel="0" collapsed="false">
      <c r="A15" s="9" t="n">
        <v>8</v>
      </c>
      <c r="B15" s="14" t="s">
        <v>578</v>
      </c>
      <c r="C15" s="9" t="s">
        <v>587</v>
      </c>
      <c r="D15" s="14" t="s">
        <v>588</v>
      </c>
      <c r="E15" s="14" t="s">
        <v>589</v>
      </c>
      <c r="F15" s="14" t="s">
        <v>586</v>
      </c>
      <c r="G15" s="18" t="s">
        <v>51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2026-06-20T00:29:56Z</dcterms:created>
  <dc:creator>openpyxl</dc:creator>
  <dc:description/>
  <dc:language>en-US</dc:language>
  <cp:lastModifiedBy/>
  <dcterms:modified xsi:type="dcterms:W3CDTF">2026-06-20T00:30:21Z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